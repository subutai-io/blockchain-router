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bookViews>
    <workbookView xWindow="330" yWindow="75" windowWidth="20820" windowHeight="13725" firstSheet="1" activeTab="1"/>
  </bookViews>
  <sheets>
    <sheet name="Title" sheetId="4" r:id="rId1"/>
    <sheet name="Instructions" sheetId="7" r:id="rId2"/>
    <sheet name="DDR4 Spec" sheetId="8" r:id="rId3"/>
    <sheet name="DDR4 Config" sheetId="1" r:id="rId4"/>
    <sheet name="System Config" sheetId="2" r:id="rId5"/>
    <sheet name="Power Calcs" sheetId="5" r:id="rId6"/>
    <sheet name="Summary" sheetId="6" r:id="rId7"/>
    <sheet name="Module calc" sheetId="9" r:id="rId8"/>
  </sheets>
  <definedNames>
    <definedName name="_xlnm.Print_Area" localSheetId="3">'DDR4 Config'!$B$1:$Q$45</definedName>
    <definedName name="_xlnm.Print_Area" localSheetId="2">'DDR4 Spec'!$B$1:$AM$177</definedName>
    <definedName name="_xlnm.Print_Area" localSheetId="1">Instructions!$A$1:$E$51</definedName>
    <definedName name="_xlnm.Print_Area" localSheetId="5">'Power Calcs'!$B$1:$S$25</definedName>
    <definedName name="_xlnm.Print_Area" localSheetId="6">Summary!$A$1:$M$60</definedName>
    <definedName name="_xlnm.Print_Area" localSheetId="4">'System Config'!$G$1:$K$38</definedName>
    <definedName name="_xlnm.Print_Area" localSheetId="0">Title!$A$1:$E$23</definedName>
  </definedNames>
  <calcPr calcId="125725"/>
</workbook>
</file>

<file path=xl/calcChain.xml><?xml version="1.0" encoding="utf-8"?>
<calcChain xmlns="http://schemas.openxmlformats.org/spreadsheetml/2006/main">
  <c r="K25" i="2"/>
  <c r="M19" i="9" l="1"/>
  <c r="M18"/>
  <c r="M17"/>
  <c r="M16"/>
  <c r="M5"/>
  <c r="M4"/>
  <c r="M3"/>
  <c r="M2"/>
  <c r="U67" i="8"/>
  <c r="K17" i="2"/>
  <c r="N116" i="8" l="1"/>
  <c r="M116"/>
  <c r="L116"/>
  <c r="K116"/>
  <c r="J116"/>
  <c r="I116"/>
  <c r="H116"/>
  <c r="G116"/>
  <c r="F116"/>
  <c r="E116"/>
  <c r="N115"/>
  <c r="M115"/>
  <c r="L115"/>
  <c r="K115"/>
  <c r="J115"/>
  <c r="I115"/>
  <c r="H115"/>
  <c r="G115"/>
  <c r="F115"/>
  <c r="E115"/>
  <c r="N114"/>
  <c r="M114"/>
  <c r="L114"/>
  <c r="K114"/>
  <c r="J114"/>
  <c r="I114"/>
  <c r="H114"/>
  <c r="G114"/>
  <c r="F114"/>
  <c r="E114"/>
  <c r="N113"/>
  <c r="M113"/>
  <c r="L113"/>
  <c r="K113"/>
  <c r="J113"/>
  <c r="I113"/>
  <c r="H113"/>
  <c r="G113"/>
  <c r="F113"/>
  <c r="E113"/>
  <c r="N112"/>
  <c r="M112"/>
  <c r="L112"/>
  <c r="K112"/>
  <c r="J112"/>
  <c r="I112"/>
  <c r="H112"/>
  <c r="G112"/>
  <c r="F112"/>
  <c r="E112"/>
  <c r="N111"/>
  <c r="M111"/>
  <c r="L111"/>
  <c r="K111"/>
  <c r="J111"/>
  <c r="I111"/>
  <c r="H111"/>
  <c r="G111"/>
  <c r="F111"/>
  <c r="E111"/>
  <c r="F15" i="6" l="1"/>
  <c r="F14"/>
  <c r="F36" l="1"/>
  <c r="F35"/>
  <c r="C42"/>
  <c r="C41"/>
  <c r="C40"/>
  <c r="C39"/>
  <c r="C38"/>
  <c r="C37"/>
  <c r="C36"/>
  <c r="C35"/>
  <c r="C34"/>
  <c r="C33"/>
  <c r="C32"/>
  <c r="AJ71" i="8"/>
  <c r="AI71"/>
  <c r="AH71"/>
  <c r="AG71"/>
  <c r="AF71"/>
  <c r="AE71"/>
  <c r="AD71"/>
  <c r="AC71"/>
  <c r="AB71"/>
  <c r="AA71"/>
  <c r="AJ70"/>
  <c r="AI70"/>
  <c r="AH70"/>
  <c r="AG70"/>
  <c r="AF70"/>
  <c r="AE70"/>
  <c r="AD70"/>
  <c r="AC70"/>
  <c r="AB70"/>
  <c r="AA70"/>
  <c r="AJ69"/>
  <c r="AI69"/>
  <c r="AH69"/>
  <c r="AG69"/>
  <c r="AF69"/>
  <c r="AE69"/>
  <c r="AD69"/>
  <c r="AC69"/>
  <c r="AB69"/>
  <c r="AA69"/>
  <c r="AJ68"/>
  <c r="AI68"/>
  <c r="AH68"/>
  <c r="AG68"/>
  <c r="AF68"/>
  <c r="AE68"/>
  <c r="AD68"/>
  <c r="AC68"/>
  <c r="AB68"/>
  <c r="AA68"/>
  <c r="AJ67"/>
  <c r="AI67"/>
  <c r="AH67"/>
  <c r="AG67"/>
  <c r="AF67"/>
  <c r="AE67"/>
  <c r="AD67"/>
  <c r="AC67"/>
  <c r="AB67"/>
  <c r="AA67"/>
  <c r="AJ66"/>
  <c r="AI66"/>
  <c r="AH66"/>
  <c r="AG66"/>
  <c r="AF66"/>
  <c r="AE66"/>
  <c r="AD66"/>
  <c r="AC66"/>
  <c r="AB66"/>
  <c r="AA66"/>
  <c r="N71"/>
  <c r="M71"/>
  <c r="L71"/>
  <c r="K71"/>
  <c r="J71"/>
  <c r="I71"/>
  <c r="H71"/>
  <c r="G71"/>
  <c r="F71"/>
  <c r="E71"/>
  <c r="N70"/>
  <c r="M70"/>
  <c r="L70"/>
  <c r="K70"/>
  <c r="J70"/>
  <c r="I70"/>
  <c r="H70"/>
  <c r="G70"/>
  <c r="F70"/>
  <c r="E70"/>
  <c r="N69"/>
  <c r="M69"/>
  <c r="L69"/>
  <c r="K69"/>
  <c r="J69"/>
  <c r="I69"/>
  <c r="H69"/>
  <c r="G69"/>
  <c r="F69"/>
  <c r="E69"/>
  <c r="N68"/>
  <c r="M68"/>
  <c r="L68"/>
  <c r="K68"/>
  <c r="J68"/>
  <c r="I68"/>
  <c r="H68"/>
  <c r="G68"/>
  <c r="F68"/>
  <c r="E68"/>
  <c r="N67"/>
  <c r="M67"/>
  <c r="L67"/>
  <c r="K67"/>
  <c r="J67"/>
  <c r="I67"/>
  <c r="H67"/>
  <c r="G67"/>
  <c r="F67"/>
  <c r="E67"/>
  <c r="N66"/>
  <c r="M66"/>
  <c r="L66"/>
  <c r="K66"/>
  <c r="J66"/>
  <c r="I66"/>
  <c r="H66"/>
  <c r="G66"/>
  <c r="F66"/>
  <c r="E66"/>
  <c r="Y71"/>
  <c r="X71"/>
  <c r="W71"/>
  <c r="V71"/>
  <c r="U71"/>
  <c r="T71"/>
  <c r="S71"/>
  <c r="R71"/>
  <c r="Y70"/>
  <c r="X70"/>
  <c r="W70"/>
  <c r="V70"/>
  <c r="U70"/>
  <c r="T70"/>
  <c r="S70"/>
  <c r="R70"/>
  <c r="Y69"/>
  <c r="X69"/>
  <c r="W69"/>
  <c r="V69"/>
  <c r="U69"/>
  <c r="T69"/>
  <c r="S69"/>
  <c r="R69"/>
  <c r="Y68"/>
  <c r="X68"/>
  <c r="W68"/>
  <c r="V68"/>
  <c r="U68"/>
  <c r="T68"/>
  <c r="S68"/>
  <c r="R68"/>
  <c r="Y67"/>
  <c r="X67"/>
  <c r="W67"/>
  <c r="V67"/>
  <c r="T67"/>
  <c r="S67"/>
  <c r="R67"/>
  <c r="Y66"/>
  <c r="X66"/>
  <c r="W66"/>
  <c r="V66"/>
  <c r="U66"/>
  <c r="T66"/>
  <c r="S66"/>
  <c r="R66"/>
  <c r="P71"/>
  <c r="P70"/>
  <c r="P69"/>
  <c r="P68"/>
  <c r="P67"/>
  <c r="P66"/>
  <c r="Q71"/>
  <c r="Q70"/>
  <c r="Q69"/>
  <c r="Q68"/>
  <c r="Q67"/>
  <c r="Q66"/>
  <c r="F24" i="6"/>
  <c r="F42" s="1"/>
  <c r="E82" i="8" l="1"/>
  <c r="C88"/>
  <c r="C89" s="1"/>
  <c r="C90" s="1"/>
  <c r="C91" s="1"/>
  <c r="C92" s="1"/>
  <c r="C93" s="1"/>
  <c r="C94" s="1"/>
  <c r="C95" s="1"/>
  <c r="C96" s="1"/>
  <c r="C97" s="1"/>
  <c r="C98" s="1"/>
  <c r="C99" s="1"/>
  <c r="C100" s="1"/>
  <c r="C101" s="1"/>
  <c r="C102" s="1"/>
  <c r="C103" s="1"/>
  <c r="C104" s="1"/>
  <c r="C105" s="1"/>
  <c r="C106" s="1"/>
  <c r="C107" s="1"/>
  <c r="O81"/>
  <c r="N133"/>
  <c r="M133"/>
  <c r="L133"/>
  <c r="K133"/>
  <c r="J133"/>
  <c r="I133"/>
  <c r="H133"/>
  <c r="G133"/>
  <c r="F133"/>
  <c r="E133"/>
  <c r="N130"/>
  <c r="M130"/>
  <c r="L130"/>
  <c r="K130"/>
  <c r="J130"/>
  <c r="I130"/>
  <c r="H130"/>
  <c r="G130"/>
  <c r="F130"/>
  <c r="E130"/>
  <c r="N124"/>
  <c r="M124"/>
  <c r="L124"/>
  <c r="K124"/>
  <c r="J124"/>
  <c r="I124"/>
  <c r="H124"/>
  <c r="N121"/>
  <c r="M121"/>
  <c r="L121"/>
  <c r="K121"/>
  <c r="J121"/>
  <c r="I121"/>
  <c r="H121"/>
  <c r="N106"/>
  <c r="M106"/>
  <c r="L106"/>
  <c r="K106"/>
  <c r="J106"/>
  <c r="I106"/>
  <c r="H106"/>
  <c r="N97"/>
  <c r="M97"/>
  <c r="L97"/>
  <c r="K97"/>
  <c r="J97"/>
  <c r="I97"/>
  <c r="H97"/>
  <c r="N94"/>
  <c r="M94"/>
  <c r="L94"/>
  <c r="K94"/>
  <c r="J94"/>
  <c r="I94"/>
  <c r="H94"/>
  <c r="N91"/>
  <c r="M91"/>
  <c r="L91"/>
  <c r="K91"/>
  <c r="J91"/>
  <c r="I91"/>
  <c r="H91"/>
  <c r="T52"/>
  <c r="T63" s="1"/>
  <c r="S52"/>
  <c r="S63" s="1"/>
  <c r="O111" l="1"/>
  <c r="O133"/>
  <c r="O116"/>
  <c r="O130"/>
  <c r="O112"/>
  <c r="O115"/>
  <c r="O113"/>
  <c r="O114"/>
  <c r="C108"/>
  <c r="C109" s="1"/>
  <c r="C110" s="1"/>
  <c r="C111" s="1"/>
  <c r="C112" s="1"/>
  <c r="C113" s="1"/>
  <c r="C114"/>
  <c r="C115" s="1"/>
  <c r="C116" s="1"/>
  <c r="G91"/>
  <c r="F91"/>
  <c r="E91"/>
  <c r="D26" i="2"/>
  <c r="C117" i="8" l="1"/>
  <c r="C118" s="1"/>
  <c r="C119" s="1"/>
  <c r="C120" s="1"/>
  <c r="C121" s="1"/>
  <c r="C122" s="1"/>
  <c r="C123" s="1"/>
  <c r="C124" s="1"/>
  <c r="C125" s="1"/>
  <c r="O91"/>
  <c r="G94"/>
  <c r="F94"/>
  <c r="E94"/>
  <c r="I28" i="2"/>
  <c r="K28" s="1"/>
  <c r="I29"/>
  <c r="K29" s="1"/>
  <c r="O94" i="8" l="1"/>
  <c r="G97"/>
  <c r="F97"/>
  <c r="E97"/>
  <c r="O97" l="1"/>
  <c r="G106"/>
  <c r="F106"/>
  <c r="E106"/>
  <c r="K23" i="2"/>
  <c r="O106" i="8" l="1"/>
  <c r="G121"/>
  <c r="F121"/>
  <c r="E121"/>
  <c r="O121" s="1"/>
  <c r="K23" i="5"/>
  <c r="K22"/>
  <c r="K21"/>
  <c r="K20"/>
  <c r="D36"/>
  <c r="D35"/>
  <c r="D34"/>
  <c r="D31"/>
  <c r="D30"/>
  <c r="AJ52" i="8"/>
  <c r="AJ63" s="1"/>
  <c r="AI52"/>
  <c r="AI63" s="1"/>
  <c r="AH52"/>
  <c r="AH63" s="1"/>
  <c r="AG52"/>
  <c r="AG63" s="1"/>
  <c r="AF52"/>
  <c r="AF63" s="1"/>
  <c r="AE52"/>
  <c r="AE63" s="1"/>
  <c r="AD52"/>
  <c r="AD63" s="1"/>
  <c r="AC52"/>
  <c r="AC63" s="1"/>
  <c r="AB52"/>
  <c r="AB63" s="1"/>
  <c r="AA52"/>
  <c r="AA63" s="1"/>
  <c r="N100"/>
  <c r="M100"/>
  <c r="L100"/>
  <c r="K100"/>
  <c r="J100"/>
  <c r="I100"/>
  <c r="H100"/>
  <c r="G100"/>
  <c r="F100"/>
  <c r="E100"/>
  <c r="N103"/>
  <c r="M103"/>
  <c r="L103"/>
  <c r="K103"/>
  <c r="J103"/>
  <c r="I103"/>
  <c r="H103"/>
  <c r="G103"/>
  <c r="F103"/>
  <c r="E103"/>
  <c r="Y52"/>
  <c r="Y63" s="1"/>
  <c r="X52"/>
  <c r="X63" s="1"/>
  <c r="W52"/>
  <c r="W63" s="1"/>
  <c r="R52"/>
  <c r="R63" s="1"/>
  <c r="Q52"/>
  <c r="Q63" s="1"/>
  <c r="P52"/>
  <c r="P63" s="1"/>
  <c r="G52"/>
  <c r="G63" s="1"/>
  <c r="F52"/>
  <c r="F63" s="1"/>
  <c r="E52"/>
  <c r="E63" s="1"/>
  <c r="K52"/>
  <c r="K63" s="1"/>
  <c r="J52"/>
  <c r="J63" s="1"/>
  <c r="I52"/>
  <c r="I63" s="1"/>
  <c r="H52"/>
  <c r="H63" s="1"/>
  <c r="N88"/>
  <c r="M88"/>
  <c r="L88"/>
  <c r="K88"/>
  <c r="J88"/>
  <c r="I88"/>
  <c r="H88"/>
  <c r="G88"/>
  <c r="F88"/>
  <c r="E88"/>
  <c r="E87"/>
  <c r="S14" i="2"/>
  <c r="Y15"/>
  <c r="AA14"/>
  <c r="Y14"/>
  <c r="Q14"/>
  <c r="W16"/>
  <c r="AA15"/>
  <c r="O100" i="8" l="1"/>
  <c r="O103"/>
  <c r="G124"/>
  <c r="F124"/>
  <c r="E124"/>
  <c r="O124" s="1"/>
  <c r="Q19" i="2"/>
  <c r="Q18"/>
  <c r="O18"/>
  <c r="W18"/>
  <c r="W19" s="1"/>
  <c r="S18" l="1"/>
  <c r="S20"/>
  <c r="S19"/>
  <c r="Q20"/>
  <c r="I12" s="1"/>
  <c r="O19"/>
  <c r="AA18"/>
  <c r="Q21" l="1"/>
  <c r="S21"/>
  <c r="I14"/>
  <c r="AA19"/>
  <c r="AA20"/>
  <c r="I15" l="1"/>
  <c r="AA21"/>
  <c r="D10" i="1"/>
  <c r="D7"/>
  <c r="L129" i="8" l="1"/>
  <c r="M129"/>
  <c r="N129"/>
  <c r="L131"/>
  <c r="M131"/>
  <c r="N131"/>
  <c r="L132"/>
  <c r="M132"/>
  <c r="N132"/>
  <c r="L134"/>
  <c r="M134"/>
  <c r="N134"/>
  <c r="L135"/>
  <c r="M135"/>
  <c r="N135"/>
  <c r="L136"/>
  <c r="M136"/>
  <c r="N136"/>
  <c r="L137"/>
  <c r="M137"/>
  <c r="N137"/>
  <c r="L138"/>
  <c r="M138"/>
  <c r="N138"/>
  <c r="L140"/>
  <c r="M140"/>
  <c r="N140"/>
  <c r="N85"/>
  <c r="M85"/>
  <c r="L85"/>
  <c r="K85"/>
  <c r="J85"/>
  <c r="I85"/>
  <c r="H85"/>
  <c r="G85"/>
  <c r="F85"/>
  <c r="N84"/>
  <c r="M84"/>
  <c r="L84"/>
  <c r="K84"/>
  <c r="J84"/>
  <c r="I84"/>
  <c r="H84"/>
  <c r="G84"/>
  <c r="F84"/>
  <c r="N83"/>
  <c r="M83"/>
  <c r="L83"/>
  <c r="K83"/>
  <c r="J83"/>
  <c r="I83"/>
  <c r="H83"/>
  <c r="G83"/>
  <c r="F83"/>
  <c r="N82"/>
  <c r="M82"/>
  <c r="L82"/>
  <c r="K82"/>
  <c r="J82"/>
  <c r="I82"/>
  <c r="H82"/>
  <c r="G82"/>
  <c r="F82"/>
  <c r="E85"/>
  <c r="E84"/>
  <c r="E83"/>
  <c r="K131"/>
  <c r="J131"/>
  <c r="I131"/>
  <c r="H131"/>
  <c r="G131"/>
  <c r="F131"/>
  <c r="E131"/>
  <c r="K129"/>
  <c r="O129" s="1"/>
  <c r="J129"/>
  <c r="I129"/>
  <c r="H129"/>
  <c r="G129"/>
  <c r="F129"/>
  <c r="E129"/>
  <c r="L1" i="1"/>
  <c r="D20" s="1"/>
  <c r="D8"/>
  <c r="D20" i="5" s="1"/>
  <c r="N52" i="8"/>
  <c r="N63" s="1"/>
  <c r="N139" s="1"/>
  <c r="M52"/>
  <c r="M63" s="1"/>
  <c r="M139" s="1"/>
  <c r="L52"/>
  <c r="L63" s="1"/>
  <c r="L139" s="1"/>
  <c r="J20" i="5" l="1"/>
  <c r="D22"/>
  <c r="O131" i="8"/>
  <c r="D158"/>
  <c r="D32" i="1" s="1"/>
  <c r="D157" i="8"/>
  <c r="D31" i="1" s="1"/>
  <c r="O82" i="8"/>
  <c r="D143" s="1"/>
  <c r="O88"/>
  <c r="O83"/>
  <c r="D144" s="1"/>
  <c r="O84"/>
  <c r="D145" s="1"/>
  <c r="D17" i="1" s="1"/>
  <c r="O85" i="8"/>
  <c r="D146" s="1"/>
  <c r="D18" i="1" s="1"/>
  <c r="E105" i="8"/>
  <c r="D21" i="1"/>
  <c r="D23" i="5" s="1"/>
  <c r="I42" i="2"/>
  <c r="I43" s="1"/>
  <c r="K19"/>
  <c r="E34" i="5"/>
  <c r="E104" i="8"/>
  <c r="E102"/>
  <c r="E101"/>
  <c r="E99"/>
  <c r="E98"/>
  <c r="E96"/>
  <c r="E95"/>
  <c r="E93"/>
  <c r="E92"/>
  <c r="E90"/>
  <c r="E89"/>
  <c r="N80"/>
  <c r="M80"/>
  <c r="L80"/>
  <c r="K80"/>
  <c r="J80"/>
  <c r="I80"/>
  <c r="H80"/>
  <c r="G80"/>
  <c r="F80"/>
  <c r="E80"/>
  <c r="I12" i="1"/>
  <c r="I11"/>
  <c r="I10"/>
  <c r="I9"/>
  <c r="I8"/>
  <c r="I7"/>
  <c r="I6"/>
  <c r="I5"/>
  <c r="I4"/>
  <c r="H140" i="8"/>
  <c r="G140"/>
  <c r="F140"/>
  <c r="H139"/>
  <c r="G139"/>
  <c r="F139"/>
  <c r="H138"/>
  <c r="G138"/>
  <c r="F138"/>
  <c r="H137"/>
  <c r="G137"/>
  <c r="F137"/>
  <c r="H136"/>
  <c r="G136"/>
  <c r="F136"/>
  <c r="H135"/>
  <c r="G135"/>
  <c r="F135"/>
  <c r="H134"/>
  <c r="G134"/>
  <c r="F134"/>
  <c r="H132"/>
  <c r="G132"/>
  <c r="F132"/>
  <c r="H128"/>
  <c r="G128"/>
  <c r="F128"/>
  <c r="I128"/>
  <c r="J128"/>
  <c r="K128"/>
  <c r="L128"/>
  <c r="M128"/>
  <c r="N128"/>
  <c r="I132"/>
  <c r="J132"/>
  <c r="K132"/>
  <c r="I134"/>
  <c r="J134"/>
  <c r="K134"/>
  <c r="I135"/>
  <c r="J135"/>
  <c r="K135"/>
  <c r="I136"/>
  <c r="J136"/>
  <c r="K136"/>
  <c r="O136" s="1"/>
  <c r="I137"/>
  <c r="J137"/>
  <c r="K137"/>
  <c r="I138"/>
  <c r="J138"/>
  <c r="K138"/>
  <c r="I139"/>
  <c r="J139"/>
  <c r="K139"/>
  <c r="I140"/>
  <c r="J140"/>
  <c r="K140"/>
  <c r="I3" i="1"/>
  <c r="E140" i="8"/>
  <c r="E139"/>
  <c r="E138"/>
  <c r="E137"/>
  <c r="E136"/>
  <c r="E135"/>
  <c r="E134"/>
  <c r="E132"/>
  <c r="E128"/>
  <c r="E30" i="5"/>
  <c r="O134" i="8" l="1"/>
  <c r="O139"/>
  <c r="D170" s="1"/>
  <c r="D44" i="1" s="1"/>
  <c r="O128" i="8"/>
  <c r="O140"/>
  <c r="D171" s="1"/>
  <c r="D45" i="1" s="1"/>
  <c r="O135" i="8"/>
  <c r="D166" s="1"/>
  <c r="D40" i="1" s="1"/>
  <c r="O138" i="8"/>
  <c r="D169" s="1"/>
  <c r="D43" i="1" s="1"/>
  <c r="O137" i="8"/>
  <c r="D168" s="1"/>
  <c r="D42" i="1" s="1"/>
  <c r="O132" i="8"/>
  <c r="D167"/>
  <c r="D41" i="1" s="1"/>
  <c r="D165" i="8"/>
  <c r="K8" i="2"/>
  <c r="D9" i="1"/>
  <c r="I9" i="2" s="1"/>
  <c r="E107" i="8"/>
  <c r="D15" i="1"/>
  <c r="D16"/>
  <c r="E35" i="5"/>
  <c r="A5" i="6" l="1"/>
  <c r="A1" i="9"/>
  <c r="K9" i="2"/>
  <c r="G9"/>
  <c r="B9" i="1"/>
  <c r="O80" i="8"/>
  <c r="J23" i="5"/>
  <c r="J22"/>
  <c r="K7" i="2"/>
  <c r="E108" i="8"/>
  <c r="E36" i="5"/>
  <c r="B5" s="1"/>
  <c r="I31" i="2" l="1"/>
  <c r="A51" i="6" s="1"/>
  <c r="A49"/>
  <c r="E31" i="5"/>
  <c r="B54" i="6"/>
  <c r="B53"/>
  <c r="B52"/>
  <c r="F20" i="5"/>
  <c r="L20" s="1"/>
  <c r="F23"/>
  <c r="L23" s="1"/>
  <c r="F22"/>
  <c r="L22" s="1"/>
  <c r="E109" i="8"/>
  <c r="A50" i="6" l="1"/>
  <c r="C7" s="1"/>
  <c r="E110" i="8"/>
  <c r="E117" l="1"/>
  <c r="E118" l="1"/>
  <c r="E119" l="1"/>
  <c r="E120" l="1"/>
  <c r="E122" l="1"/>
  <c r="E125" l="1"/>
  <c r="E123"/>
  <c r="F87"/>
  <c r="D39" i="1" l="1"/>
  <c r="G125" i="8"/>
  <c r="G123"/>
  <c r="F125"/>
  <c r="F123"/>
  <c r="F89"/>
  <c r="F90" l="1"/>
  <c r="F92" l="1"/>
  <c r="F93" l="1"/>
  <c r="F95" l="1"/>
  <c r="F96" l="1"/>
  <c r="F98" l="1"/>
  <c r="F99" l="1"/>
  <c r="F101" l="1"/>
  <c r="F102" l="1"/>
  <c r="F104" l="1"/>
  <c r="F105" l="1"/>
  <c r="F107" l="1"/>
  <c r="F108" l="1"/>
  <c r="F109" l="1"/>
  <c r="F110" l="1"/>
  <c r="F117" l="1"/>
  <c r="F118" l="1"/>
  <c r="F119" l="1"/>
  <c r="F120" l="1"/>
  <c r="F122" l="1"/>
  <c r="G87" l="1"/>
  <c r="G89" l="1"/>
  <c r="G90" l="1"/>
  <c r="G92" l="1"/>
  <c r="G93" l="1"/>
  <c r="G95" l="1"/>
  <c r="G96" l="1"/>
  <c r="G98" l="1"/>
  <c r="G99" l="1"/>
  <c r="G101" l="1"/>
  <c r="G102" l="1"/>
  <c r="G104" l="1"/>
  <c r="G105" l="1"/>
  <c r="G107" l="1"/>
  <c r="G108" l="1"/>
  <c r="G109" l="1"/>
  <c r="G110" l="1"/>
  <c r="G117" l="1"/>
  <c r="G118" l="1"/>
  <c r="G119" l="1"/>
  <c r="G120" l="1"/>
  <c r="H123" l="1"/>
  <c r="H125"/>
  <c r="G122"/>
  <c r="H87" l="1"/>
  <c r="H89" l="1"/>
  <c r="H90" l="1"/>
  <c r="H92" l="1"/>
  <c r="H93" l="1"/>
  <c r="H95" l="1"/>
  <c r="H96" l="1"/>
  <c r="H98" l="1"/>
  <c r="H99" l="1"/>
  <c r="H101" l="1"/>
  <c r="H102" l="1"/>
  <c r="H104" l="1"/>
  <c r="H105" l="1"/>
  <c r="H107" l="1"/>
  <c r="H108" l="1"/>
  <c r="H109" l="1"/>
  <c r="H110" l="1"/>
  <c r="H117" l="1"/>
  <c r="H118" l="1"/>
  <c r="H119" l="1"/>
  <c r="H120" l="1"/>
  <c r="I125" l="1"/>
  <c r="I123"/>
  <c r="H122"/>
  <c r="I87" l="1"/>
  <c r="I89" l="1"/>
  <c r="I90" l="1"/>
  <c r="I92" l="1"/>
  <c r="I93" l="1"/>
  <c r="I95" l="1"/>
  <c r="I96" l="1"/>
  <c r="I98" l="1"/>
  <c r="I99" l="1"/>
  <c r="I101" l="1"/>
  <c r="I102" l="1"/>
  <c r="I104" l="1"/>
  <c r="I105" l="1"/>
  <c r="I107" l="1"/>
  <c r="I108" l="1"/>
  <c r="I109" l="1"/>
  <c r="I110" l="1"/>
  <c r="I117" l="1"/>
  <c r="I118" l="1"/>
  <c r="I119" l="1"/>
  <c r="I120" l="1"/>
  <c r="J125" l="1"/>
  <c r="J123"/>
  <c r="I122"/>
  <c r="J87" l="1"/>
  <c r="J89" l="1"/>
  <c r="J90" l="1"/>
  <c r="J92" l="1"/>
  <c r="J93" l="1"/>
  <c r="J95" l="1"/>
  <c r="J96" l="1"/>
  <c r="J98" l="1"/>
  <c r="J99" l="1"/>
  <c r="J101" l="1"/>
  <c r="J102" l="1"/>
  <c r="J104" l="1"/>
  <c r="J105" l="1"/>
  <c r="J107" l="1"/>
  <c r="J108" l="1"/>
  <c r="J109" l="1"/>
  <c r="J110" l="1"/>
  <c r="J117" l="1"/>
  <c r="J118" l="1"/>
  <c r="J119" l="1"/>
  <c r="J120" l="1"/>
  <c r="K125" l="1"/>
  <c r="K123"/>
  <c r="J122"/>
  <c r="D164" l="1"/>
  <c r="D38" i="1" s="1"/>
  <c r="K31" i="2" s="1"/>
  <c r="K87" i="8"/>
  <c r="K89" l="1"/>
  <c r="K90" l="1"/>
  <c r="K92" l="1"/>
  <c r="K93" l="1"/>
  <c r="K95" l="1"/>
  <c r="K96" l="1"/>
  <c r="K98" l="1"/>
  <c r="K99" l="1"/>
  <c r="K101" l="1"/>
  <c r="K102" l="1"/>
  <c r="K104" l="1"/>
  <c r="K105" l="1"/>
  <c r="K107" l="1"/>
  <c r="K108" l="1"/>
  <c r="K109" l="1"/>
  <c r="K110" l="1"/>
  <c r="K117" l="1"/>
  <c r="K118" l="1"/>
  <c r="K119" l="1"/>
  <c r="K120" l="1"/>
  <c r="D160" l="1"/>
  <c r="D161"/>
  <c r="D35" i="1" s="1"/>
  <c r="L123" i="8"/>
  <c r="L125"/>
  <c r="K122"/>
  <c r="D163" l="1"/>
  <c r="D37" i="1" s="1"/>
  <c r="D34"/>
  <c r="L87" i="8"/>
  <c r="P20" i="5" l="1"/>
  <c r="P23"/>
  <c r="R23" s="1"/>
  <c r="P22"/>
  <c r="L89" i="8"/>
  <c r="R22" i="5" l="1"/>
  <c r="D24" i="6" s="1"/>
  <c r="E24"/>
  <c r="E42" s="1"/>
  <c r="R20" i="5"/>
  <c r="D14" i="6" s="1"/>
  <c r="E14"/>
  <c r="E35" s="1"/>
  <c r="L90" i="8"/>
  <c r="D42" i="6" l="1"/>
  <c r="C17" i="9"/>
  <c r="D35" i="6"/>
  <c r="C7" i="9"/>
  <c r="L92" i="8"/>
  <c r="L93" l="1"/>
  <c r="L95" l="1"/>
  <c r="L96" l="1"/>
  <c r="L98" l="1"/>
  <c r="L99" l="1"/>
  <c r="L101" l="1"/>
  <c r="L102" l="1"/>
  <c r="L104" l="1"/>
  <c r="L105" l="1"/>
  <c r="L107" l="1"/>
  <c r="L108" l="1"/>
  <c r="L109" l="1"/>
  <c r="L110" l="1"/>
  <c r="L117" l="1"/>
  <c r="L118" l="1"/>
  <c r="L119" l="1"/>
  <c r="L120" l="1"/>
  <c r="M125" l="1"/>
  <c r="M123"/>
  <c r="L122"/>
  <c r="M87" l="1"/>
  <c r="M89" l="1"/>
  <c r="M90" l="1"/>
  <c r="M92" l="1"/>
  <c r="M93" l="1"/>
  <c r="M95" l="1"/>
  <c r="M96" l="1"/>
  <c r="M98" l="1"/>
  <c r="M99" l="1"/>
  <c r="M101" l="1"/>
  <c r="M102" l="1"/>
  <c r="M104" l="1"/>
  <c r="M105" l="1"/>
  <c r="M107" l="1"/>
  <c r="M108" l="1"/>
  <c r="M109" l="1"/>
  <c r="M110" l="1"/>
  <c r="M117" l="1"/>
  <c r="M118" l="1"/>
  <c r="M119" l="1"/>
  <c r="M120" l="1"/>
  <c r="N125" l="1"/>
  <c r="O125" s="1"/>
  <c r="N123"/>
  <c r="O123" s="1"/>
  <c r="M122"/>
  <c r="N87" l="1"/>
  <c r="O87" s="1"/>
  <c r="N89" l="1"/>
  <c r="O89" s="1"/>
  <c r="D148" s="1"/>
  <c r="D23" i="1" s="1"/>
  <c r="N90" i="8" l="1"/>
  <c r="O90" s="1"/>
  <c r="N92" l="1"/>
  <c r="O92" s="1"/>
  <c r="D149" s="1"/>
  <c r="D24" i="1" s="1"/>
  <c r="N93" i="8" l="1"/>
  <c r="O93" s="1"/>
  <c r="N95" l="1"/>
  <c r="O95" s="1"/>
  <c r="D150" s="1"/>
  <c r="D25" i="1" s="1"/>
  <c r="D12" i="5" s="1"/>
  <c r="J12" s="1"/>
  <c r="P12" s="1"/>
  <c r="E20" i="6" l="1"/>
  <c r="E40" s="1"/>
  <c r="N96" i="8"/>
  <c r="O96" s="1"/>
  <c r="N98" l="1"/>
  <c r="O98" s="1"/>
  <c r="D151" s="1"/>
  <c r="D26" i="1" s="1"/>
  <c r="D13" i="5" s="1"/>
  <c r="J13" s="1"/>
  <c r="P13" s="1"/>
  <c r="E18" i="6" l="1"/>
  <c r="E38" s="1"/>
  <c r="N99" i="8"/>
  <c r="O99" s="1"/>
  <c r="N101" l="1"/>
  <c r="O101" s="1"/>
  <c r="D153" s="1"/>
  <c r="D27" i="1" s="1"/>
  <c r="D14" i="5" s="1"/>
  <c r="J14" s="1"/>
  <c r="P14" s="1"/>
  <c r="E19" i="6" l="1"/>
  <c r="E39" s="1"/>
  <c r="N102" i="8"/>
  <c r="O102" s="1"/>
  <c r="N104" l="1"/>
  <c r="O104" s="1"/>
  <c r="D154" s="1"/>
  <c r="D28" i="1" s="1"/>
  <c r="D15" i="5" l="1"/>
  <c r="J15" s="1"/>
  <c r="P15" s="1"/>
  <c r="D18"/>
  <c r="D16"/>
  <c r="D17"/>
  <c r="N105" i="8"/>
  <c r="O105" s="1"/>
  <c r="E17" i="6" l="1"/>
  <c r="J18" i="5"/>
  <c r="P18" s="1"/>
  <c r="J17"/>
  <c r="P17" s="1"/>
  <c r="E10" i="6" s="1"/>
  <c r="J16" i="5"/>
  <c r="P16" s="1"/>
  <c r="N107" i="8"/>
  <c r="O107" s="1"/>
  <c r="D155" s="1"/>
  <c r="D29" i="1" s="1"/>
  <c r="E21" i="6" l="1"/>
  <c r="E41" s="1"/>
  <c r="E13"/>
  <c r="E34" s="1"/>
  <c r="E17" i="5"/>
  <c r="E13"/>
  <c r="E18"/>
  <c r="E15"/>
  <c r="E14"/>
  <c r="E12"/>
  <c r="E16"/>
  <c r="E37" i="6"/>
  <c r="E32"/>
  <c r="E11"/>
  <c r="K11" s="1"/>
  <c r="N108" i="8"/>
  <c r="O108" s="1"/>
  <c r="F14" i="5" l="1"/>
  <c r="L14" s="1"/>
  <c r="K14"/>
  <c r="Q14" s="1"/>
  <c r="E22" i="6"/>
  <c r="K15" s="1"/>
  <c r="F12" i="5"/>
  <c r="L12" s="1"/>
  <c r="K12"/>
  <c r="Q12" s="1"/>
  <c r="K16"/>
  <c r="Q16" s="1"/>
  <c r="F16"/>
  <c r="L16" s="1"/>
  <c r="K17"/>
  <c r="Q17" s="1"/>
  <c r="F17"/>
  <c r="L17" s="1"/>
  <c r="F13"/>
  <c r="L13" s="1"/>
  <c r="K13"/>
  <c r="Q13" s="1"/>
  <c r="K18"/>
  <c r="Q18" s="1"/>
  <c r="F18"/>
  <c r="L18" s="1"/>
  <c r="F15"/>
  <c r="L15" s="1"/>
  <c r="K15"/>
  <c r="Q15" s="1"/>
  <c r="N109" i="8"/>
  <c r="O109" s="1"/>
  <c r="D156" s="1"/>
  <c r="D30" i="1" s="1"/>
  <c r="D19" i="5" s="1"/>
  <c r="F18" i="6" l="1"/>
  <c r="F38" s="1"/>
  <c r="R13" i="5"/>
  <c r="D18" i="6" s="1"/>
  <c r="F13"/>
  <c r="F34" s="1"/>
  <c r="R18" i="5"/>
  <c r="D13" i="6" s="1"/>
  <c r="F20"/>
  <c r="F40" s="1"/>
  <c r="R12" i="5"/>
  <c r="D20" i="6" s="1"/>
  <c r="F21"/>
  <c r="F41" s="1"/>
  <c r="R16" i="5"/>
  <c r="D21" i="6" s="1"/>
  <c r="F19"/>
  <c r="F39" s="1"/>
  <c r="R14" i="5"/>
  <c r="D19" i="6" s="1"/>
  <c r="F17"/>
  <c r="R15" i="5"/>
  <c r="D17" i="6" s="1"/>
  <c r="J19" i="5"/>
  <c r="P19" s="1"/>
  <c r="R17"/>
  <c r="D10" i="6" s="1"/>
  <c r="F10"/>
  <c r="N110" i="8"/>
  <c r="O110" s="1"/>
  <c r="C11" i="9" l="1"/>
  <c r="D38" i="6"/>
  <c r="D37"/>
  <c r="C10" i="9"/>
  <c r="D22" i="6"/>
  <c r="E12"/>
  <c r="E33" s="1"/>
  <c r="F37"/>
  <c r="F22"/>
  <c r="K16" s="1"/>
  <c r="D40"/>
  <c r="C13" i="9"/>
  <c r="D39" i="6"/>
  <c r="C12" i="9"/>
  <c r="C6"/>
  <c r="D34" i="6"/>
  <c r="D11"/>
  <c r="C3" i="9"/>
  <c r="C4" s="1"/>
  <c r="D32" i="6"/>
  <c r="F32"/>
  <c r="F11"/>
  <c r="K12" s="1"/>
  <c r="D41"/>
  <c r="C14" i="9"/>
  <c r="N117" i="8"/>
  <c r="O117" s="1"/>
  <c r="C16" i="9" l="1"/>
  <c r="N118" i="8"/>
  <c r="O118" s="1"/>
  <c r="N119" l="1"/>
  <c r="O119" s="1"/>
  <c r="D159" s="1"/>
  <c r="D33" i="1" s="1"/>
  <c r="E19" i="5" s="1"/>
  <c r="K19" l="1"/>
  <c r="Q19" s="1"/>
  <c r="F19"/>
  <c r="L19" s="1"/>
  <c r="N122" i="8"/>
  <c r="O122" s="1"/>
  <c r="N120"/>
  <c r="O120" s="1"/>
  <c r="F12" i="6" l="1"/>
  <c r="R19" i="5"/>
  <c r="D12" i="6" s="1"/>
  <c r="AE14" i="2"/>
  <c r="AK15"/>
  <c r="Y18"/>
  <c r="Y20" s="1"/>
  <c r="F16" i="6" l="1"/>
  <c r="F33"/>
  <c r="C5" i="9"/>
  <c r="D33" i="6"/>
  <c r="AH15" i="2"/>
  <c r="AK16"/>
  <c r="AH14"/>
  <c r="AK14"/>
  <c r="AH16"/>
  <c r="Y19"/>
  <c r="K14" i="6" l="1"/>
  <c r="F23"/>
  <c r="I13" i="2"/>
  <c r="D21" i="5" s="1"/>
  <c r="Y21" i="2"/>
  <c r="R26" i="5"/>
  <c r="J21" l="1"/>
  <c r="F21"/>
  <c r="L21" s="1"/>
  <c r="P21" l="1"/>
  <c r="E15" i="6" s="1"/>
  <c r="E36" s="1"/>
  <c r="R21" i="5" l="1"/>
  <c r="R25" s="1"/>
  <c r="E16" i="6"/>
  <c r="E23" s="1"/>
  <c r="D15" l="1"/>
  <c r="D16" s="1"/>
  <c r="D23" s="1"/>
  <c r="K13"/>
  <c r="D36" l="1"/>
  <c r="C8" i="9"/>
  <c r="C9" s="1"/>
  <c r="C15" s="1"/>
</calcChain>
</file>

<file path=xl/sharedStrings.xml><?xml version="1.0" encoding="utf-8"?>
<sst xmlns="http://schemas.openxmlformats.org/spreadsheetml/2006/main" count="878" uniqueCount="414">
  <si>
    <t>Total DRAM Power Consumed</t>
  </si>
  <si>
    <t>Minimum activate-to-activate timing (Same bank)</t>
  </si>
  <si>
    <t>The percentage of the all bank precharge time for which CKE is held LOW</t>
  </si>
  <si>
    <t>Background power used during active power-down</t>
  </si>
  <si>
    <t>The percentage of the at least one bank active time for which CKE is held LOW</t>
  </si>
  <si>
    <t>Power Calcs tab</t>
  </si>
  <si>
    <t>Summary tab</t>
  </si>
  <si>
    <t>VCC</t>
  </si>
  <si>
    <t>mW</t>
  </si>
  <si>
    <t>MHz</t>
  </si>
  <si>
    <t>V</t>
  </si>
  <si>
    <t>mA</t>
  </si>
  <si>
    <t>Read Bandwidth</t>
  </si>
  <si>
    <t>DRAM write power</t>
  </si>
  <si>
    <t>DRAM power for ACT/PRE commands</t>
  </si>
  <si>
    <t>Background power to complete refreshes</t>
  </si>
  <si>
    <t>DRAM Usage Conditions in the System Environment</t>
  </si>
  <si>
    <t>Maximum Precharge Power-Down Standby Current</t>
  </si>
  <si>
    <t>Maximum Precharge Standby Current</t>
  </si>
  <si>
    <t>Maximum Active Power-Down Standby Current</t>
  </si>
  <si>
    <t>Maximum Active Standby Current</t>
  </si>
  <si>
    <t>Maximum Read Burst Current</t>
  </si>
  <si>
    <t>Maximum Write BurstCurrent</t>
  </si>
  <si>
    <t>THIS SPREADSHEET IS FOR ESTIMATING PURPOSES ONLY. ANY INFORMATION PROVIDED HEREIN IS PROVIDED "AS IS" AND WITHOUT WARRANTIES OF ANY KIND.  MICRON WARRANTS ONLY THAT ITS PRODUCTS COMPLY WITH MICRON'S SPECIFICATION SHEET FOR THE PRODUCT AT THE TIME OF DELIVERY; PROVIDED THAT DEVIATIONS FROM SPECIFICATIONS WHICH DO NOT MATERIALLY AFFECT FORM, FIT OR FUNCTION OF SUCH PRODUCT IN THE SYSTEM AND CONFIGURATION IN OR FOR WHICH IT IS INITIALLY INSTALLED OR QUALIFIED BY CUSTOMER SHALL NOT BE DEEMED TO CONSTITUTE FAILURE TO COMPLY WITH SUCH SPECIFICATIONS.</t>
  </si>
  <si>
    <t>SEE MICRON'S STANDARD TERMS AND CONDITIONS OF SALE FOR COMPLETE WARRANTY DETAILS.</t>
  </si>
  <si>
    <t>Term power for writes</t>
  </si>
  <si>
    <t>tRAS used for IDD0 Calcualtion</t>
  </si>
  <si>
    <t>Maximum Burst Refresh Current</t>
  </si>
  <si>
    <t>Term power for writes from another rank</t>
  </si>
  <si>
    <t>Write Bandwidth</t>
  </si>
  <si>
    <t>MB/sec</t>
  </si>
  <si>
    <t>ns</t>
  </si>
  <si>
    <t>File Name</t>
  </si>
  <si>
    <t>Revision</t>
  </si>
  <si>
    <t>Date</t>
  </si>
  <si>
    <t>Company</t>
  </si>
  <si>
    <t>E-Mail</t>
  </si>
  <si>
    <t>Description</t>
  </si>
  <si>
    <t>Notes</t>
  </si>
  <si>
    <t>Disclaimer</t>
  </si>
  <si>
    <t>Micron Technology, Inc.</t>
  </si>
  <si>
    <t>:</t>
  </si>
  <si>
    <t>Density</t>
  </si>
  <si>
    <t>Speed Grade</t>
  </si>
  <si>
    <t>Value</t>
  </si>
  <si>
    <t>Units</t>
  </si>
  <si>
    <t>Parameter</t>
  </si>
  <si>
    <t>Condition</t>
  </si>
  <si>
    <t>DRAM Density</t>
  </si>
  <si>
    <t>FREQ</t>
  </si>
  <si>
    <t>Device</t>
  </si>
  <si>
    <t>IO</t>
  </si>
  <si>
    <t>Limitations</t>
  </si>
  <si>
    <t>DRAM read power</t>
  </si>
  <si>
    <t>DQ output power</t>
  </si>
  <si>
    <t>Average clocks between colum</t>
  </si>
  <si>
    <t>Average Clocks between Rows</t>
  </si>
  <si>
    <t>Pds(PRE_PDN)</t>
  </si>
  <si>
    <t>Pds(PRE_STBY)</t>
  </si>
  <si>
    <t>Pds(ACT_PDN)</t>
  </si>
  <si>
    <t>Pds(ACT_STBY)</t>
  </si>
  <si>
    <t>Pds(REF)</t>
  </si>
  <si>
    <t>Pds(ACT)</t>
  </si>
  <si>
    <t>Pds(WR)</t>
  </si>
  <si>
    <t>Pds(RD)</t>
  </si>
  <si>
    <t>Pds(DQ)</t>
  </si>
  <si>
    <t>Pds(termW)</t>
  </si>
  <si>
    <t>Pds(termRoth)</t>
  </si>
  <si>
    <t>Pds(termWoth)</t>
  </si>
  <si>
    <t>The average time between ACT commands to this DRAM (includes ACT to same or different banks in the same DRAM device)</t>
  </si>
  <si>
    <t>Background power used during precharge power-down</t>
  </si>
  <si>
    <t>Background power used during idle standby</t>
  </si>
  <si>
    <t>Background power used during active standby</t>
  </si>
  <si>
    <t>Maximum Active Precharge Current</t>
  </si>
  <si>
    <t>BNK_PRE%</t>
  </si>
  <si>
    <t>PdqRD</t>
  </si>
  <si>
    <t>PdqWR</t>
  </si>
  <si>
    <t>PdqWRoth</t>
  </si>
  <si>
    <t>PdqRDoth</t>
  </si>
  <si>
    <t>Term power for reads from another rank</t>
  </si>
  <si>
    <t>Minimum refresh to refresh cycle time</t>
  </si>
  <si>
    <t>Average periodic refresh cycle time</t>
  </si>
  <si>
    <t>tCK(min)</t>
  </si>
  <si>
    <t>tCK(max)</t>
  </si>
  <si>
    <t>Term</t>
  </si>
  <si>
    <t>DQs per DRAM</t>
  </si>
  <si>
    <t>x16</t>
  </si>
  <si>
    <t>x4</t>
  </si>
  <si>
    <t>x8</t>
  </si>
  <si>
    <t>Inputs are required for all densities and speed grades that may be chosen.</t>
  </si>
  <si>
    <t>Psys(PRE_PDN)</t>
  </si>
  <si>
    <t>Psys(PRE_STBY)</t>
  </si>
  <si>
    <t>Psys(ACT_PDN)</t>
  </si>
  <si>
    <t>Psys(ACT_STBY)</t>
  </si>
  <si>
    <t>Psys(REF)</t>
  </si>
  <si>
    <t>Psys(ACT)</t>
  </si>
  <si>
    <t>Psys(WR)</t>
  </si>
  <si>
    <t>Psys(RD)</t>
  </si>
  <si>
    <t>Psys(DQ)</t>
  </si>
  <si>
    <t>Psys(termW)</t>
  </si>
  <si>
    <t>Psys(termRoth)</t>
  </si>
  <si>
    <t>Psys(termWoth)</t>
  </si>
  <si>
    <t>Psch(PRE_PDN)</t>
  </si>
  <si>
    <t>Psch(PRE_STBY)</t>
  </si>
  <si>
    <t>Psch(ACT_PDN)</t>
  </si>
  <si>
    <t>Psch(ACT_STBY)</t>
  </si>
  <si>
    <t>Psch(REF)</t>
  </si>
  <si>
    <t>Psch(ACT)</t>
  </si>
  <si>
    <t>Psch(WR)</t>
  </si>
  <si>
    <t>Psch(RD)</t>
  </si>
  <si>
    <t>Psch(DQ)</t>
  </si>
  <si>
    <t>Psch(termW)</t>
  </si>
  <si>
    <t>Psch(termRoth)</t>
  </si>
  <si>
    <t>Psch(termWoth)</t>
  </si>
  <si>
    <t>RDsch%</t>
  </si>
  <si>
    <t>WRsch%</t>
  </si>
  <si>
    <t>PH%</t>
  </si>
  <si>
    <t>termRDsch%</t>
  </si>
  <si>
    <t>termWRsch%</t>
  </si>
  <si>
    <t>CKE_LO_PRE%</t>
  </si>
  <si>
    <t>CKE_LO_ACT%</t>
  </si>
  <si>
    <t>All rights reserved.</t>
  </si>
  <si>
    <t>Instructions for Use</t>
  </si>
  <si>
    <t>No inputs are required for this tab. It contains some of the detail calculations that provide information into the Summary tab. It can be used as a reference for further understanding the calculator, or you may jump straight to the Summary page for the final answer.</t>
  </si>
  <si>
    <t>Maximum precharge power-down standby current</t>
  </si>
  <si>
    <t>Maximum precharge standby current</t>
  </si>
  <si>
    <t>Maximum active power-down standby current</t>
  </si>
  <si>
    <t>Maximum active standby current</t>
  </si>
  <si>
    <t>Maximum read burst current</t>
  </si>
  <si>
    <t>Maximum write burst current</t>
  </si>
  <si>
    <t>Maximum burst refresh current</t>
  </si>
  <si>
    <t>Minimum activate-to-activate timing (same bank)</t>
  </si>
  <si>
    <t>Minimum refresh-to-refresh cycle time</t>
  </si>
  <si>
    <t>Initial numbers are for reference only and must be verified with existing DRAM data sheets for accuracy prior to using the spreadsheet.</t>
  </si>
  <si>
    <t>Number of DQ strobes (DQS) per DRAM</t>
  </si>
  <si>
    <t>Number of data mask (DM) per DRAM</t>
  </si>
  <si>
    <t>Burst length</t>
  </si>
  <si>
    <t>The percentage of time that all banks on the DRAM are in a precharged state</t>
  </si>
  <si>
    <t>Page hit rate</t>
  </si>
  <si>
    <t>The percentage of clock cycles which are outputting read data from the DRAM</t>
  </si>
  <si>
    <t>The percentage of clock cycles which are inputting write data to the DRAM</t>
  </si>
  <si>
    <t>Power Derated for System Usage Conditions Input into This Model</t>
  </si>
  <si>
    <r>
      <t>I</t>
    </r>
    <r>
      <rPr>
        <sz val="8"/>
        <rFont val="Arial"/>
        <family val="2"/>
      </rPr>
      <t>DD</t>
    </r>
    <r>
      <rPr>
        <sz val="10"/>
        <rFont val="Arial"/>
        <family val="2"/>
      </rPr>
      <t>0</t>
    </r>
  </si>
  <si>
    <r>
      <t>I</t>
    </r>
    <r>
      <rPr>
        <sz val="8"/>
        <rFont val="Arial"/>
        <family val="2"/>
      </rPr>
      <t>DD</t>
    </r>
    <r>
      <rPr>
        <sz val="10"/>
        <rFont val="Arial"/>
        <family val="2"/>
      </rPr>
      <t>2P</t>
    </r>
  </si>
  <si>
    <r>
      <t>I</t>
    </r>
    <r>
      <rPr>
        <sz val="8"/>
        <rFont val="Arial"/>
        <family val="2"/>
      </rPr>
      <t>DD</t>
    </r>
    <r>
      <rPr>
        <sz val="10"/>
        <rFont val="Arial"/>
        <family val="2"/>
      </rPr>
      <t>2N</t>
    </r>
  </si>
  <si>
    <r>
      <t>I</t>
    </r>
    <r>
      <rPr>
        <sz val="8"/>
        <rFont val="Arial"/>
        <family val="2"/>
      </rPr>
      <t>DD</t>
    </r>
    <r>
      <rPr>
        <sz val="10"/>
        <rFont val="Arial"/>
        <family val="2"/>
      </rPr>
      <t>3P</t>
    </r>
  </si>
  <si>
    <r>
      <t>I</t>
    </r>
    <r>
      <rPr>
        <sz val="8"/>
        <rFont val="Arial"/>
        <family val="2"/>
      </rPr>
      <t>DD</t>
    </r>
    <r>
      <rPr>
        <sz val="10"/>
        <rFont val="Arial"/>
        <family val="2"/>
      </rPr>
      <t>3N</t>
    </r>
  </si>
  <si>
    <r>
      <t>I</t>
    </r>
    <r>
      <rPr>
        <sz val="8"/>
        <rFont val="Arial"/>
        <family val="2"/>
      </rPr>
      <t>DD</t>
    </r>
    <r>
      <rPr>
        <sz val="10"/>
        <rFont val="Arial"/>
        <family val="2"/>
      </rPr>
      <t>4R</t>
    </r>
  </si>
  <si>
    <r>
      <t>I</t>
    </r>
    <r>
      <rPr>
        <sz val="8"/>
        <rFont val="Arial"/>
        <family val="2"/>
      </rPr>
      <t>DD</t>
    </r>
    <r>
      <rPr>
        <sz val="10"/>
        <rFont val="Arial"/>
        <family val="2"/>
      </rPr>
      <t>4W</t>
    </r>
  </si>
  <si>
    <r>
      <t>t</t>
    </r>
    <r>
      <rPr>
        <sz val="10"/>
        <rFont val="Arial"/>
        <family val="2"/>
      </rPr>
      <t>RC</t>
    </r>
  </si>
  <si>
    <r>
      <t>t</t>
    </r>
    <r>
      <rPr>
        <sz val="10"/>
        <rFont val="Arial"/>
        <family val="2"/>
      </rPr>
      <t>RAS</t>
    </r>
  </si>
  <si>
    <r>
      <t>t</t>
    </r>
    <r>
      <rPr>
        <sz val="10"/>
        <rFont val="Arial"/>
        <family val="2"/>
      </rPr>
      <t>REFI</t>
    </r>
  </si>
  <si>
    <r>
      <t xml:space="preserve">Minimum </t>
    </r>
    <r>
      <rPr>
        <vertAlign val="superscript"/>
        <sz val="10"/>
        <rFont val="Arial"/>
        <family val="2"/>
      </rPr>
      <t>t</t>
    </r>
    <r>
      <rPr>
        <sz val="10"/>
        <rFont val="Arial"/>
        <family val="2"/>
      </rPr>
      <t>CK cycle rate</t>
    </r>
  </si>
  <si>
    <r>
      <t xml:space="preserve">Maximum </t>
    </r>
    <r>
      <rPr>
        <vertAlign val="superscript"/>
        <sz val="10"/>
        <rFont val="Arial"/>
        <family val="2"/>
      </rPr>
      <t>t</t>
    </r>
    <r>
      <rPr>
        <sz val="10"/>
        <rFont val="Arial"/>
        <family val="2"/>
      </rPr>
      <t>CK cycle rate</t>
    </r>
  </si>
  <si>
    <r>
      <t>Maximum V</t>
    </r>
    <r>
      <rPr>
        <sz val="8"/>
        <rFont val="Arial"/>
        <family val="2"/>
      </rPr>
      <t>CC</t>
    </r>
  </si>
  <si>
    <r>
      <t>Minimum V</t>
    </r>
    <r>
      <rPr>
        <sz val="8"/>
        <rFont val="Arial"/>
        <family val="2"/>
      </rPr>
      <t>CC</t>
    </r>
  </si>
  <si>
    <r>
      <t>t</t>
    </r>
    <r>
      <rPr>
        <sz val="10"/>
        <rFont val="Arial"/>
        <family val="2"/>
      </rPr>
      <t>RFC(min)</t>
    </r>
  </si>
  <si>
    <r>
      <t>t</t>
    </r>
    <r>
      <rPr>
        <sz val="11"/>
        <rFont val="Arial"/>
        <family val="2"/>
      </rPr>
      <t>CK used for current measurements (see current notes)</t>
    </r>
  </si>
  <si>
    <r>
      <t>t</t>
    </r>
    <r>
      <rPr>
        <sz val="11"/>
        <rFont val="Arial"/>
        <family val="2"/>
      </rPr>
      <t>RC</t>
    </r>
  </si>
  <si>
    <r>
      <t>t</t>
    </r>
    <r>
      <rPr>
        <sz val="11"/>
        <rFont val="Arial"/>
        <family val="2"/>
      </rPr>
      <t>RAS</t>
    </r>
  </si>
  <si>
    <r>
      <t>t</t>
    </r>
    <r>
      <rPr>
        <sz val="11"/>
        <rFont val="Arial"/>
        <family val="2"/>
      </rPr>
      <t>RAS used for IDD0 calculation</t>
    </r>
  </si>
  <si>
    <r>
      <t>t</t>
    </r>
    <r>
      <rPr>
        <sz val="11"/>
        <rFont val="Arial"/>
        <family val="2"/>
      </rPr>
      <t>RFC (MIN)</t>
    </r>
  </si>
  <si>
    <r>
      <t>t</t>
    </r>
    <r>
      <rPr>
        <sz val="11"/>
        <rFont val="Arial"/>
        <family val="2"/>
      </rPr>
      <t>REFI</t>
    </r>
  </si>
  <si>
    <r>
      <t>t</t>
    </r>
    <r>
      <rPr>
        <sz val="11"/>
        <rFont val="Arial"/>
        <family val="2"/>
      </rPr>
      <t>CK  (MIN)</t>
    </r>
  </si>
  <si>
    <r>
      <t xml:space="preserve">Minimum </t>
    </r>
    <r>
      <rPr>
        <vertAlign val="superscript"/>
        <sz val="11"/>
        <rFont val="Arial"/>
        <family val="2"/>
      </rPr>
      <t>t</t>
    </r>
    <r>
      <rPr>
        <sz val="11"/>
        <rFont val="Arial"/>
        <family val="2"/>
      </rPr>
      <t>CK cycle rate</t>
    </r>
  </si>
  <si>
    <r>
      <t>t</t>
    </r>
    <r>
      <rPr>
        <sz val="11"/>
        <rFont val="Arial"/>
        <family val="2"/>
      </rPr>
      <t>CK (MAX)</t>
    </r>
  </si>
  <si>
    <r>
      <t xml:space="preserve">Maximum </t>
    </r>
    <r>
      <rPr>
        <vertAlign val="superscript"/>
        <sz val="11"/>
        <rFont val="Arial"/>
        <family val="2"/>
      </rPr>
      <t>t</t>
    </r>
    <r>
      <rPr>
        <sz val="11"/>
        <rFont val="Arial"/>
        <family val="2"/>
      </rPr>
      <t>CK cycle rate</t>
    </r>
  </si>
  <si>
    <r>
      <t>Power Scaled for Actual System Conditions (DRAM Usage, CK Frequency, and V</t>
    </r>
    <r>
      <rPr>
        <b/>
        <sz val="8"/>
        <color indexed="9"/>
        <rFont val="Arial"/>
        <family val="2"/>
      </rPr>
      <t>CC)</t>
    </r>
  </si>
  <si>
    <t>µs</t>
  </si>
  <si>
    <t>dramsupport@micron.com</t>
  </si>
  <si>
    <t>4Gb</t>
  </si>
  <si>
    <t xml:space="preserve">Maximum active power-down standby current </t>
  </si>
  <si>
    <r>
      <t>I</t>
    </r>
    <r>
      <rPr>
        <sz val="9"/>
        <rFont val="Arial"/>
        <family val="2"/>
      </rPr>
      <t>DD</t>
    </r>
    <r>
      <rPr>
        <sz val="11"/>
        <rFont val="Arial"/>
        <family val="2"/>
      </rPr>
      <t>0</t>
    </r>
  </si>
  <si>
    <r>
      <t>I</t>
    </r>
    <r>
      <rPr>
        <sz val="9"/>
        <rFont val="Arial"/>
        <family val="2"/>
      </rPr>
      <t>DD</t>
    </r>
    <r>
      <rPr>
        <sz val="11"/>
        <rFont val="Arial"/>
        <family val="2"/>
      </rPr>
      <t>2N</t>
    </r>
  </si>
  <si>
    <r>
      <t>I</t>
    </r>
    <r>
      <rPr>
        <sz val="9"/>
        <rFont val="Arial"/>
        <family val="2"/>
      </rPr>
      <t>DD</t>
    </r>
    <r>
      <rPr>
        <sz val="11"/>
        <rFont val="Arial"/>
        <family val="2"/>
      </rPr>
      <t>3P</t>
    </r>
  </si>
  <si>
    <r>
      <t>I</t>
    </r>
    <r>
      <rPr>
        <sz val="9"/>
        <rFont val="Arial"/>
        <family val="2"/>
      </rPr>
      <t>DD</t>
    </r>
    <r>
      <rPr>
        <sz val="11"/>
        <rFont val="Arial"/>
        <family val="2"/>
      </rPr>
      <t>3N</t>
    </r>
  </si>
  <si>
    <r>
      <t>I</t>
    </r>
    <r>
      <rPr>
        <sz val="9"/>
        <rFont val="Arial"/>
        <family val="2"/>
      </rPr>
      <t>DD</t>
    </r>
    <r>
      <rPr>
        <sz val="11"/>
        <rFont val="Arial"/>
        <family val="2"/>
      </rPr>
      <t>4R</t>
    </r>
  </si>
  <si>
    <r>
      <t>I</t>
    </r>
    <r>
      <rPr>
        <sz val="9"/>
        <rFont val="Arial"/>
        <family val="2"/>
      </rPr>
      <t>DD</t>
    </r>
    <r>
      <rPr>
        <sz val="11"/>
        <rFont val="Arial"/>
        <family val="2"/>
      </rPr>
      <t>4W</t>
    </r>
  </si>
  <si>
    <r>
      <t>t</t>
    </r>
    <r>
      <rPr>
        <sz val="11"/>
        <rFont val="Arial"/>
        <family val="2"/>
      </rPr>
      <t>CK (MIN)</t>
    </r>
  </si>
  <si>
    <r>
      <t>Maximum V</t>
    </r>
    <r>
      <rPr>
        <sz val="9"/>
        <rFont val="Arial"/>
        <family val="2"/>
      </rPr>
      <t>DD</t>
    </r>
  </si>
  <si>
    <r>
      <t>Minimum V</t>
    </r>
    <r>
      <rPr>
        <sz val="9"/>
        <rFont val="Arial"/>
        <family val="2"/>
      </rPr>
      <t>DD</t>
    </r>
  </si>
  <si>
    <r>
      <t>Maximum V</t>
    </r>
    <r>
      <rPr>
        <sz val="9"/>
        <rFont val="Arial"/>
        <family val="2"/>
      </rPr>
      <t>CC</t>
    </r>
  </si>
  <si>
    <r>
      <t>Minimum V</t>
    </r>
    <r>
      <rPr>
        <sz val="9"/>
        <rFont val="Arial"/>
        <family val="2"/>
      </rPr>
      <t>CC</t>
    </r>
  </si>
  <si>
    <r>
      <t>I</t>
    </r>
    <r>
      <rPr>
        <sz val="9"/>
        <rFont val="Arial"/>
        <family val="2"/>
      </rPr>
      <t>DD</t>
    </r>
    <r>
      <rPr>
        <sz val="11"/>
        <rFont val="Arial"/>
        <family val="2"/>
      </rPr>
      <t>2P</t>
    </r>
  </si>
  <si>
    <r>
      <t>t</t>
    </r>
    <r>
      <rPr>
        <sz val="11"/>
        <rFont val="Arial"/>
        <family val="2"/>
      </rPr>
      <t xml:space="preserve">CK </t>
    </r>
    <r>
      <rPr>
        <sz val="11"/>
        <rFont val="Arial"/>
        <family val="2"/>
      </rPr>
      <t>(MAX)</t>
    </r>
  </si>
  <si>
    <r>
      <t>t</t>
    </r>
    <r>
      <rPr>
        <sz val="11"/>
        <rFont val="Arial"/>
        <family val="2"/>
      </rPr>
      <t>RAS used for I</t>
    </r>
    <r>
      <rPr>
        <sz val="9"/>
        <rFont val="Arial"/>
        <family val="2"/>
      </rPr>
      <t>DD</t>
    </r>
    <r>
      <rPr>
        <sz val="11"/>
        <rFont val="Arial"/>
        <family val="2"/>
      </rPr>
      <t>0 calculation</t>
    </r>
  </si>
  <si>
    <r>
      <t>Power is calculated after after scaling for V</t>
    </r>
    <r>
      <rPr>
        <sz val="9"/>
        <rFont val="Arial"/>
        <family val="2"/>
      </rPr>
      <t>DD</t>
    </r>
    <r>
      <rPr>
        <sz val="11"/>
        <rFont val="Arial"/>
        <family val="2"/>
      </rPr>
      <t>.  Next, some powers are scaled for frequency effects to derate from test condition to use condition.  Finally, these numbers are scaled for actual system usage. All parameters are calculated and require no user input.</t>
    </r>
  </si>
  <si>
    <r>
      <t>System V</t>
    </r>
    <r>
      <rPr>
        <sz val="9"/>
        <rFont val="Arial"/>
        <family val="2"/>
      </rPr>
      <t>DD</t>
    </r>
  </si>
  <si>
    <r>
      <t>Row 7 is the actual V</t>
    </r>
    <r>
      <rPr>
        <b/>
        <sz val="8"/>
        <rFont val="Arial"/>
        <family val="2"/>
      </rPr>
      <t>DD</t>
    </r>
    <r>
      <rPr>
        <b/>
        <sz val="10"/>
        <rFont val="Arial"/>
        <family val="2"/>
      </rPr>
      <t xml:space="preserve"> the system is operating at. It is usually set to nominal conditions.</t>
    </r>
  </si>
  <si>
    <t>Row 7 selects which DRAM density.</t>
  </si>
  <si>
    <t>No inputs are required for this tab. It contains a summary of the power used by the DRAM. The power is broken out between:
  — Power to read/write data to and from the DRAM
  — Power to activate the rows
  — Background power for standby modes and refresh</t>
  </si>
  <si>
    <t xml:space="preserve"> </t>
  </si>
  <si>
    <t>-107E</t>
  </si>
  <si>
    <t>-093</t>
  </si>
  <si>
    <t>-093E</t>
  </si>
  <si>
    <t>RTTuC=</t>
  </si>
  <si>
    <t>RTTu2=</t>
  </si>
  <si>
    <t>RzC=</t>
  </si>
  <si>
    <t>Rz =   (mW)</t>
  </si>
  <si>
    <t>VDDq=</t>
  </si>
  <si>
    <t>Rs1 =   (mW)</t>
  </si>
  <si>
    <t>Rs2=   (mW)</t>
  </si>
  <si>
    <t>Rs2=</t>
  </si>
  <si>
    <t>Rs1=   (mW)</t>
  </si>
  <si>
    <t>RTTd2 =   (mW)</t>
  </si>
  <si>
    <t>IRZC</t>
  </si>
  <si>
    <t>IRTTpd1</t>
  </si>
  <si>
    <t>IRTTpu1</t>
  </si>
  <si>
    <t>IRS1</t>
  </si>
  <si>
    <t xml:space="preserve">N3=      (mV)  </t>
  </si>
  <si>
    <t xml:space="preserve">N1=      (mV)  </t>
  </si>
  <si>
    <t xml:space="preserve">N2=      (mV)  </t>
  </si>
  <si>
    <t>This value is the termination power plus module series resistor power per DQ.   The calculator to the right will estimate and populate the entries to the left</t>
  </si>
  <si>
    <t>READ  I/O  Power</t>
  </si>
  <si>
    <t>WRITE  I/O  Power</t>
  </si>
  <si>
    <t>The above is calculated from page hit rate read/write bus utilization. No entry is necessary.</t>
  </si>
  <si>
    <t xml:space="preserve">                                         Do Not Go Below This Box                                                            Do Not Go Below This Box                                                           Do Not Go Below This Box                                                           Do Not Go Below This Box                                                             Do Not Go Below This Box                                                           Do Not Go Below This Box                                                           Do Not Go Below This Box                                                           Do Not Go Below This Box                  </t>
  </si>
  <si>
    <t>2nd rank DRAM Power Consumed</t>
  </si>
  <si>
    <t>PRE_PDN</t>
  </si>
  <si>
    <t>PRE_STBY</t>
  </si>
  <si>
    <t>ACT_PDN</t>
  </si>
  <si>
    <t>Psys Power Consumption Summary</t>
  </si>
  <si>
    <t>ACT_STBY</t>
  </si>
  <si>
    <t>REF</t>
  </si>
  <si>
    <t>ACT</t>
  </si>
  <si>
    <t>WR</t>
  </si>
  <si>
    <t>RD</t>
  </si>
  <si>
    <t>READ I/O</t>
  </si>
  <si>
    <t>Write ODT</t>
  </si>
  <si>
    <t>TERM 2nd rank</t>
  </si>
  <si>
    <t>8Gb</t>
  </si>
  <si>
    <t>16Gb</t>
  </si>
  <si>
    <t>-083</t>
  </si>
  <si>
    <t>-083E</t>
  </si>
  <si>
    <t>-075</t>
  </si>
  <si>
    <t>-075E</t>
  </si>
  <si>
    <t>Active Bank Precharge Current</t>
  </si>
  <si>
    <r>
      <t>I</t>
    </r>
    <r>
      <rPr>
        <sz val="9"/>
        <rFont val="Arial"/>
        <family val="2"/>
      </rPr>
      <t>PP</t>
    </r>
    <r>
      <rPr>
        <sz val="11"/>
        <rFont val="Arial"/>
        <family val="2"/>
      </rPr>
      <t>0</t>
    </r>
  </si>
  <si>
    <t>Word Line Boost Current</t>
  </si>
  <si>
    <r>
      <t>t</t>
    </r>
    <r>
      <rPr>
        <sz val="11"/>
        <rFont val="Arial"/>
        <family val="2"/>
      </rPr>
      <t>RRD_s</t>
    </r>
  </si>
  <si>
    <t>Minimum activate-to-activate timing (different bank, different BG)</t>
  </si>
  <si>
    <r>
      <t>t</t>
    </r>
    <r>
      <rPr>
        <sz val="11"/>
        <rFont val="Arial"/>
        <family val="2"/>
      </rPr>
      <t>RRD_L</t>
    </r>
  </si>
  <si>
    <t>Minimum activate-to-activate timing (different bank, same BG)</t>
  </si>
  <si>
    <t>DRAM Width (Number of DQs per )</t>
  </si>
  <si>
    <t>DDR4_Power_Calc.XLSM</t>
  </si>
  <si>
    <t>Copyright © 2012 Micron Semiconductor Products, Inc.</t>
  </si>
  <si>
    <t>DDR4 Spec tab (ALL MUST BE VERIFIED FOR A SPECIFIC DRAM DATA SHEET)</t>
  </si>
  <si>
    <t>tCKavg</t>
  </si>
  <si>
    <r>
      <t>t</t>
    </r>
    <r>
      <rPr>
        <sz val="10"/>
        <rFont val="Arial"/>
        <family val="2"/>
      </rPr>
      <t xml:space="preserve">CK used for current measurements </t>
    </r>
  </si>
  <si>
    <r>
      <t>t</t>
    </r>
    <r>
      <rPr>
        <sz val="10"/>
        <rFont val="Arial"/>
        <family val="2"/>
      </rPr>
      <t>RRD_s</t>
    </r>
  </si>
  <si>
    <r>
      <t>t</t>
    </r>
    <r>
      <rPr>
        <sz val="10"/>
        <rFont val="Arial"/>
        <family val="2"/>
      </rPr>
      <t>RRD_L</t>
    </r>
  </si>
  <si>
    <t>Minimum activate-to-activate timing (different BG)</t>
  </si>
  <si>
    <t>Minimum activate-to-activate timing (same BG)</t>
  </si>
  <si>
    <r>
      <t>t</t>
    </r>
    <r>
      <rPr>
        <sz val="11"/>
        <rFont val="Arial"/>
        <family val="2"/>
      </rPr>
      <t>RRD_S</t>
    </r>
  </si>
  <si>
    <t>tCK</t>
  </si>
  <si>
    <t>DDR4 SDRAM Configuration</t>
  </si>
  <si>
    <t>System CK frequency (data rate /2)</t>
  </si>
  <si>
    <t>Calculates the power consumed by a DDR4 SDRAM based on system use parameters and the device data sheet.</t>
  </si>
  <si>
    <t>Maximum standby Ipp current</t>
  </si>
  <si>
    <r>
      <t>Minimum V</t>
    </r>
    <r>
      <rPr>
        <sz val="9"/>
        <rFont val="Arial"/>
        <family val="2"/>
      </rPr>
      <t>PP</t>
    </r>
  </si>
  <si>
    <r>
      <t>Maximum V</t>
    </r>
    <r>
      <rPr>
        <sz val="9"/>
        <rFont val="Arial"/>
        <family val="2"/>
      </rPr>
      <t>PP</t>
    </r>
  </si>
  <si>
    <r>
      <t>I</t>
    </r>
    <r>
      <rPr>
        <sz val="9"/>
        <rFont val="Arial"/>
        <family val="2"/>
      </rPr>
      <t>PP</t>
    </r>
    <r>
      <rPr>
        <sz val="11"/>
        <rFont val="Arial"/>
        <family val="2"/>
      </rPr>
      <t>SB</t>
    </r>
  </si>
  <si>
    <r>
      <t>I</t>
    </r>
    <r>
      <rPr>
        <sz val="8"/>
        <rFont val="Arial"/>
        <family val="2"/>
      </rPr>
      <t>PP</t>
    </r>
    <r>
      <rPr>
        <sz val="10"/>
        <rFont val="Arial"/>
        <family val="2"/>
      </rPr>
      <t>SB</t>
    </r>
  </si>
  <si>
    <r>
      <t>I</t>
    </r>
    <r>
      <rPr>
        <sz val="8"/>
        <rFont val="Arial"/>
        <family val="2"/>
      </rPr>
      <t>PP</t>
    </r>
    <r>
      <rPr>
        <sz val="10"/>
        <rFont val="Arial"/>
        <family val="2"/>
      </rPr>
      <t>0</t>
    </r>
  </si>
  <si>
    <t>System VPP</t>
  </si>
  <si>
    <r>
      <t>Maximum V</t>
    </r>
    <r>
      <rPr>
        <sz val="8"/>
        <rFont val="Arial"/>
        <family val="2"/>
      </rPr>
      <t>PP</t>
    </r>
  </si>
  <si>
    <r>
      <t>Minimum V</t>
    </r>
    <r>
      <rPr>
        <sz val="8"/>
        <rFont val="Arial"/>
        <family val="2"/>
      </rPr>
      <t>PP</t>
    </r>
  </si>
  <si>
    <t xml:space="preserve">must be either BC 4 or BL8 </t>
  </si>
  <si>
    <r>
      <t>DDR4 SDRAM output power per individual DQ on this DRAM during</t>
    </r>
    <r>
      <rPr>
        <sz val="11"/>
        <color indexed="10"/>
        <rFont val="Arial"/>
        <family val="2"/>
      </rPr>
      <t xml:space="preserve"> READ</t>
    </r>
    <r>
      <rPr>
        <sz val="11"/>
        <color indexed="8"/>
        <rFont val="Arial"/>
        <family val="2"/>
      </rPr>
      <t>s from this DRAM</t>
    </r>
  </si>
  <si>
    <t>DDR4 SDRAM termination power per individual DQ during WRITEs to this DRAM</t>
  </si>
  <si>
    <t>The percentage of clock cycles which are terminating read data to another DRAM Rank*</t>
  </si>
  <si>
    <t>The percentage of clock cycles which are terminating write data to another DRAM Rank*</t>
  </si>
  <si>
    <t>* must be 0% for a 1-rank system</t>
  </si>
  <si>
    <r>
      <t>Enter V</t>
    </r>
    <r>
      <rPr>
        <b/>
        <sz val="8"/>
        <rFont val="Arial"/>
        <family val="2"/>
      </rPr>
      <t>DD</t>
    </r>
    <r>
      <rPr>
        <b/>
        <sz val="10"/>
        <rFont val="Arial"/>
        <family val="2"/>
      </rPr>
      <t xml:space="preserve"> tolerance range in rows 7-8.</t>
    </r>
  </si>
  <si>
    <r>
      <t>Enter V</t>
    </r>
    <r>
      <rPr>
        <b/>
        <sz val="8"/>
        <rFont val="Arial"/>
        <family val="2"/>
      </rPr>
      <t>PP</t>
    </r>
    <r>
      <rPr>
        <b/>
        <sz val="10"/>
        <rFont val="Arial"/>
        <family val="2"/>
      </rPr>
      <t xml:space="preserve"> tolerance range in rows 9-10.</t>
    </r>
  </si>
  <si>
    <t>DDR4 Config Spec tab (ALL MUST BE ENTERED TO IDENTIFY DRAM TO BE USED FOR POWER CALCULATION)</t>
  </si>
  <si>
    <t>Row 8 selects which DRAM density.</t>
  </si>
  <si>
    <t>Row 9 selects the number of DQs.</t>
  </si>
  <si>
    <t>Row 10 selects the starting speed grade.</t>
  </si>
  <si>
    <r>
      <t>Row 8 is the actual V</t>
    </r>
    <r>
      <rPr>
        <b/>
        <sz val="8"/>
        <rFont val="Arial"/>
        <family val="2"/>
      </rPr>
      <t>PP</t>
    </r>
    <r>
      <rPr>
        <b/>
        <sz val="10"/>
        <rFont val="Arial"/>
        <family val="2"/>
      </rPr>
      <t xml:space="preserve"> the system is operating at. It is usually set to nominal conditions.</t>
    </r>
  </si>
  <si>
    <t>Row 10 is the burst length programmed in the mode register. (The model does not calculate power if burst interrupt is utilized.)</t>
  </si>
  <si>
    <t>Row 17 is the time when all banks are in a precharged state. This is the amount of time when no bank has been activated.</t>
  </si>
  <si>
    <r>
      <t>Row 19 is the percentage of DRAM active time when CKE is LOW and the device is in the power-down state. This is the percentage of active time when the DRAM is using I</t>
    </r>
    <r>
      <rPr>
        <b/>
        <sz val="8"/>
        <rFont val="Arial"/>
        <family val="2"/>
      </rPr>
      <t>DD</t>
    </r>
    <r>
      <rPr>
        <b/>
        <sz val="10"/>
        <rFont val="Arial"/>
        <family val="2"/>
      </rPr>
      <t>3P current vs. I</t>
    </r>
    <r>
      <rPr>
        <b/>
        <sz val="8"/>
        <rFont val="Arial"/>
        <family val="2"/>
      </rPr>
      <t>DD</t>
    </r>
    <r>
      <rPr>
        <b/>
        <sz val="10"/>
        <rFont val="Arial"/>
        <family val="2"/>
      </rPr>
      <t>3N.</t>
    </r>
  </si>
  <si>
    <r>
      <t>Maximum V</t>
    </r>
    <r>
      <rPr>
        <sz val="9"/>
        <rFont val="Arial"/>
        <family val="2"/>
      </rPr>
      <t xml:space="preserve">DD </t>
    </r>
    <r>
      <rPr>
        <sz val="11"/>
        <rFont val="Arial"/>
        <family val="2"/>
      </rPr>
      <t>active precharge current</t>
    </r>
  </si>
  <si>
    <r>
      <t>Maximum V</t>
    </r>
    <r>
      <rPr>
        <sz val="9"/>
        <rFont val="Arial"/>
        <family val="2"/>
      </rPr>
      <t>PP</t>
    </r>
    <r>
      <rPr>
        <sz val="11"/>
        <rFont val="Arial"/>
        <family val="2"/>
      </rPr>
      <t xml:space="preserve"> active precharge current</t>
    </r>
  </si>
  <si>
    <r>
      <t>Row 12</t>
    </r>
    <r>
      <rPr>
        <b/>
        <sz val="10"/>
        <color indexed="10"/>
        <rFont val="Arial"/>
        <family val="2"/>
      </rPr>
      <t>*</t>
    </r>
    <r>
      <rPr>
        <b/>
        <sz val="10"/>
        <rFont val="Arial"/>
        <family val="2"/>
      </rPr>
      <t xml:space="preserve"> is the amount of power that is </t>
    </r>
    <r>
      <rPr>
        <b/>
        <sz val="10"/>
        <color indexed="8"/>
        <rFont val="Arial"/>
        <family val="2"/>
      </rPr>
      <t>drawn per output while</t>
    </r>
    <r>
      <rPr>
        <b/>
        <sz val="10"/>
        <color indexed="10"/>
        <rFont val="Arial"/>
        <family val="2"/>
      </rPr>
      <t xml:space="preserve"> driving read data </t>
    </r>
    <r>
      <rPr>
        <b/>
        <sz val="10"/>
        <color indexed="8"/>
        <rFont val="Arial"/>
        <family val="2"/>
      </rPr>
      <t xml:space="preserve">from itself. </t>
    </r>
  </si>
  <si>
    <r>
      <t>Row 13</t>
    </r>
    <r>
      <rPr>
        <b/>
        <sz val="10"/>
        <color indexed="10"/>
        <rFont val="Arial"/>
        <family val="2"/>
      </rPr>
      <t>*</t>
    </r>
    <r>
      <rPr>
        <b/>
        <sz val="10"/>
        <rFont val="Arial"/>
        <family val="2"/>
      </rPr>
      <t xml:space="preserve"> is the amount of power that is drawn per outpu</t>
    </r>
    <r>
      <rPr>
        <b/>
        <sz val="10"/>
        <color indexed="8"/>
        <rFont val="Arial"/>
        <family val="2"/>
      </rPr>
      <t>t while</t>
    </r>
    <r>
      <rPr>
        <b/>
        <sz val="10"/>
        <color indexed="10"/>
        <rFont val="Arial"/>
        <family val="2"/>
      </rPr>
      <t xml:space="preserve"> terminating write data</t>
    </r>
    <r>
      <rPr>
        <b/>
        <sz val="10"/>
        <rFont val="Arial"/>
        <family val="2"/>
      </rPr>
      <t xml:space="preserve"> to itself. </t>
    </r>
  </si>
  <si>
    <t>DDR4 SDRAM termination power per individual DQ during READs from other DRAM Rank*</t>
  </si>
  <si>
    <t>DDR4 SDRAM termination power per individual DQ during WRITEs to other DRAM Rank*</t>
  </si>
  <si>
    <r>
      <t>Row 14</t>
    </r>
    <r>
      <rPr>
        <b/>
        <sz val="10"/>
        <color indexed="10"/>
        <rFont val="Arial"/>
        <family val="2"/>
      </rPr>
      <t>*</t>
    </r>
    <r>
      <rPr>
        <b/>
        <sz val="10"/>
        <rFont val="Arial"/>
        <family val="2"/>
      </rPr>
      <t xml:space="preserve"> is the amount of power that is drawn per DQ while </t>
    </r>
    <r>
      <rPr>
        <b/>
        <sz val="10"/>
        <color indexed="10"/>
        <rFont val="Arial"/>
        <family val="2"/>
      </rPr>
      <t>terminating read data</t>
    </r>
    <r>
      <rPr>
        <b/>
        <sz val="10"/>
        <rFont val="Arial"/>
        <family val="2"/>
      </rPr>
      <t xml:space="preserve"> </t>
    </r>
    <r>
      <rPr>
        <b/>
        <sz val="10"/>
        <color indexed="10"/>
        <rFont val="Arial"/>
        <family val="2"/>
      </rPr>
      <t>at different DRAM Rank</t>
    </r>
    <r>
      <rPr>
        <b/>
        <sz val="10"/>
        <color indexed="8"/>
        <rFont val="Arial"/>
        <family val="2"/>
      </rPr>
      <t xml:space="preserve"> (two or more loads). </t>
    </r>
  </si>
  <si>
    <r>
      <t>Row 15</t>
    </r>
    <r>
      <rPr>
        <b/>
        <sz val="10"/>
        <color indexed="10"/>
        <rFont val="Arial"/>
        <family val="2"/>
      </rPr>
      <t>*</t>
    </r>
    <r>
      <rPr>
        <b/>
        <sz val="10"/>
        <rFont val="Arial"/>
        <family val="2"/>
      </rPr>
      <t xml:space="preserve"> is the amount of power that is drawn per DQ while </t>
    </r>
    <r>
      <rPr>
        <b/>
        <sz val="10"/>
        <color indexed="10"/>
        <rFont val="Arial"/>
        <family val="2"/>
      </rPr>
      <t>terminating write data at different DRAM Rank</t>
    </r>
    <r>
      <rPr>
        <b/>
        <sz val="10"/>
        <rFont val="Arial"/>
        <family val="2"/>
      </rPr>
      <t xml:space="preserve"> (two or more loads). </t>
    </r>
  </si>
  <si>
    <r>
      <t xml:space="preserve"> </t>
    </r>
    <r>
      <rPr>
        <b/>
        <i/>
        <sz val="10"/>
        <color indexed="8"/>
        <rFont val="Arial"/>
        <family val="2"/>
      </rPr>
      <t xml:space="preserve">    *These are system-dependent and must be calculated. The value may be approximated with a DC calculation (calculator                          provided) or more accurately determined using SPICE models.</t>
    </r>
  </si>
  <si>
    <r>
      <t>Row 18 is the percentage of time that all that banks are precharged when the device is in power-down state. This is the percentage of time when the DRAM is using I</t>
    </r>
    <r>
      <rPr>
        <b/>
        <sz val="8"/>
        <rFont val="Arial"/>
        <family val="2"/>
      </rPr>
      <t>DD</t>
    </r>
    <r>
      <rPr>
        <b/>
        <sz val="10"/>
        <rFont val="Arial"/>
        <family val="2"/>
      </rPr>
      <t>2P vs. I</t>
    </r>
    <r>
      <rPr>
        <b/>
        <sz val="8"/>
        <rFont val="Arial"/>
        <family val="2"/>
      </rPr>
      <t>DD</t>
    </r>
    <r>
      <rPr>
        <b/>
        <sz val="10"/>
        <rFont val="Arial"/>
        <family val="2"/>
      </rPr>
      <t>2N.</t>
    </r>
  </si>
  <si>
    <r>
      <t>Row 20 is the average time between ACT commands to the DRAM.  Under I</t>
    </r>
    <r>
      <rPr>
        <b/>
        <sz val="8"/>
        <rFont val="Arial"/>
        <family val="2"/>
      </rPr>
      <t>DD</t>
    </r>
    <r>
      <rPr>
        <b/>
        <sz val="10"/>
        <rFont val="Arial"/>
        <family val="2"/>
      </rPr>
      <t xml:space="preserve">0 this would be equal to </t>
    </r>
    <r>
      <rPr>
        <b/>
        <vertAlign val="superscript"/>
        <sz val="10"/>
        <rFont val="Arial"/>
        <family val="2"/>
      </rPr>
      <t>t</t>
    </r>
    <r>
      <rPr>
        <b/>
        <sz val="10"/>
        <rFont val="Arial"/>
        <family val="2"/>
      </rPr>
      <t xml:space="preserve">RC. If the DRAM is in interleaving bursts, it may be less than </t>
    </r>
    <r>
      <rPr>
        <b/>
        <vertAlign val="superscript"/>
        <sz val="10"/>
        <rFont val="Arial"/>
        <family val="2"/>
      </rPr>
      <t>t</t>
    </r>
    <r>
      <rPr>
        <b/>
        <sz val="10"/>
        <rFont val="Arial"/>
        <family val="2"/>
      </rPr>
      <t xml:space="preserve">RC. </t>
    </r>
    <r>
      <rPr>
        <b/>
        <sz val="10"/>
        <color indexed="10"/>
        <rFont val="Arial"/>
        <family val="2"/>
      </rPr>
      <t>This value is now calculated off of page hit rate. Entering a number here will override the automatic calculation.</t>
    </r>
  </si>
  <si>
    <t>Row 23 is the percentage of clocks that data is read from the DRAM. This would be equal to the average read bandwidth divided by peak read bandwidth.</t>
  </si>
  <si>
    <t xml:space="preserve">Row 24 is the percentage of clocks that data is written to the DRAM. This would be equal to the average read bandwidth divided by peak read bandwidth. </t>
  </si>
  <si>
    <t>Row 21 is the page hit rate. 0% means there are no page hits (i.e., one read/write per each activate).</t>
  </si>
  <si>
    <t>Row 26 is the percentage of clock cycles the DRAM under investigation is terminating read data from another device. It does not include time when a different DRAM on the bus may be terminating data.</t>
  </si>
  <si>
    <t>Row 27 is the percentage of clock cycles the DRAM under investigation is terminating write data from another device. It does not include time when a different DRAM on the bus may be terminating data.</t>
  </si>
  <si>
    <t>Maximum Active Word line Boost</t>
  </si>
  <si>
    <t>Maximum Standby Word line Boost</t>
  </si>
  <si>
    <r>
      <t>I</t>
    </r>
    <r>
      <rPr>
        <sz val="8"/>
        <rFont val="Arial"/>
        <family val="2"/>
      </rPr>
      <t>DD5</t>
    </r>
  </si>
  <si>
    <r>
      <t>I</t>
    </r>
    <r>
      <rPr>
        <sz val="8"/>
        <rFont val="Arial"/>
        <family val="2"/>
      </rPr>
      <t>PP5</t>
    </r>
  </si>
  <si>
    <t>Maximum Burst Refresh Word line Boost</t>
  </si>
  <si>
    <r>
      <t>I</t>
    </r>
    <r>
      <rPr>
        <sz val="9"/>
        <rFont val="Arial"/>
        <family val="2"/>
      </rPr>
      <t>DD</t>
    </r>
    <r>
      <rPr>
        <sz val="11"/>
        <rFont val="Arial"/>
        <family val="2"/>
      </rPr>
      <t>5</t>
    </r>
  </si>
  <si>
    <r>
      <t>I</t>
    </r>
    <r>
      <rPr>
        <sz val="9"/>
        <rFont val="Arial"/>
        <family val="2"/>
      </rPr>
      <t>PP</t>
    </r>
    <r>
      <rPr>
        <sz val="11"/>
        <rFont val="Arial"/>
        <family val="2"/>
      </rPr>
      <t>5</t>
    </r>
  </si>
  <si>
    <r>
      <t>Maximum V</t>
    </r>
    <r>
      <rPr>
        <sz val="9"/>
        <rFont val="Arial"/>
        <family val="2"/>
      </rPr>
      <t>PP</t>
    </r>
    <r>
      <rPr>
        <sz val="11"/>
        <rFont val="Arial"/>
        <family val="2"/>
      </rPr>
      <t xml:space="preserve"> standby current</t>
    </r>
  </si>
  <si>
    <r>
      <t>Maximum V</t>
    </r>
    <r>
      <rPr>
        <sz val="9"/>
        <rFont val="Arial"/>
        <family val="2"/>
      </rPr>
      <t>PP</t>
    </r>
    <r>
      <rPr>
        <sz val="11"/>
        <rFont val="Arial"/>
        <family val="2"/>
      </rPr>
      <t xml:space="preserve"> burst refresh current</t>
    </r>
  </si>
  <si>
    <t>Off</t>
  </si>
  <si>
    <t>On</t>
  </si>
  <si>
    <t>DBI Mode enabled</t>
  </si>
  <si>
    <t>Total DDR4 SDRAM Power</t>
  </si>
  <si>
    <t>Maximum Power Based on Data Sheet Test Conditions and Maximum Limits when in this state</t>
  </si>
  <si>
    <t>RTTPUC =   (mW)</t>
  </si>
  <si>
    <t>RzC =   (mW)</t>
  </si>
  <si>
    <t>RTTPUd1 =   (mW)</t>
  </si>
  <si>
    <t>RTTPUd2 =   (mW)</t>
  </si>
  <si>
    <t>Rs2=      (mW)</t>
  </si>
  <si>
    <t>Row 11 selects whether DBI Mode is enabled or not</t>
  </si>
  <si>
    <r>
      <t xml:space="preserve">System Config Usage Conditions tab </t>
    </r>
    <r>
      <rPr>
        <b/>
        <sz val="12"/>
        <color indexed="10"/>
        <rFont val="Arial"/>
        <family val="2"/>
      </rPr>
      <t>(ALL MUST BE ENTERED FOR SPECIFIC SYSTEM)</t>
    </r>
  </si>
  <si>
    <t>On right side of page, input drivers' Zo, RTTs, and series resistors (module) values in dark green shaded areas</t>
  </si>
  <si>
    <t>Calculated values in light green; do not make entries in these slots</t>
  </si>
  <si>
    <t>ODT write</t>
  </si>
  <si>
    <t>I/O driver</t>
  </si>
  <si>
    <t>DBI</t>
  </si>
  <si>
    <t>Strobes</t>
  </si>
  <si>
    <t>RTTu2-RD</t>
  </si>
  <si>
    <t>RTTu2-WR</t>
  </si>
  <si>
    <t>0 = Disabled</t>
  </si>
  <si>
    <t>Values that require input are shown in dark green. These will be dependent on how the system accesses the DRAM.</t>
  </si>
  <si>
    <t xml:space="preserve">This value is the DRAM I/O power plus module series resistor power per DQ.   The calculator to the right will estimate and populate the entries to the left </t>
  </si>
  <si>
    <t xml:space="preserve">  Rz1=</t>
  </si>
  <si>
    <t xml:space="preserve">  Rs1=</t>
  </si>
  <si>
    <t xml:space="preserve">  RTTu1=</t>
  </si>
  <si>
    <t xml:space="preserve">  Rs2=</t>
  </si>
  <si>
    <t xml:space="preserve">  RTTu2=</t>
  </si>
  <si>
    <t>Values that require input are shown in white field or in drop box. These will be dependent on how the system accesses the DRAM.</t>
  </si>
  <si>
    <t>-062E</t>
  </si>
  <si>
    <t>For x16, use equivalent speed grade noted in DDR4 Spec page</t>
  </si>
  <si>
    <t>MDM</t>
  </si>
  <si>
    <t>-068</t>
  </si>
  <si>
    <t>-068E</t>
  </si>
  <si>
    <t>VDD</t>
  </si>
  <si>
    <t>VPP</t>
  </si>
  <si>
    <t>Total</t>
  </si>
  <si>
    <t>Calculated values in green boxes below</t>
  </si>
  <si>
    <t>Enter values in dark blue boxes below</t>
  </si>
  <si>
    <r>
      <t>t</t>
    </r>
    <r>
      <rPr>
        <sz val="11"/>
        <rFont val="Arial"/>
        <family val="2"/>
      </rPr>
      <t>RRDsch*</t>
    </r>
  </si>
  <si>
    <t>MT/s</t>
  </si>
  <si>
    <t xml:space="preserve"> &lt;==</t>
  </si>
  <si>
    <r>
      <t>Enter I</t>
    </r>
    <r>
      <rPr>
        <b/>
        <sz val="8"/>
        <rFont val="Arial"/>
        <family val="2"/>
      </rPr>
      <t>DD</t>
    </r>
    <r>
      <rPr>
        <b/>
        <sz val="10"/>
        <rFont val="Arial"/>
        <family val="2"/>
      </rPr>
      <t xml:space="preserve"> values for the speed grade under investigation in rows 12-44. Note that there are entries for x4, x8 devices, as well as x16. If only x4 or x8 or x16 is desired, the other  IDDs are not required but be careful when entering data.</t>
    </r>
  </si>
  <si>
    <r>
      <t>Timing restrictions in rows 46-58 are entered from the data sheet. These determine the test conditions for the I</t>
    </r>
    <r>
      <rPr>
        <b/>
        <sz val="8"/>
        <rFont val="Arial"/>
        <family val="2"/>
      </rPr>
      <t>DD</t>
    </r>
    <r>
      <rPr>
        <b/>
        <sz val="10"/>
        <rFont val="Arial"/>
        <family val="2"/>
      </rPr>
      <t xml:space="preserve"> values and restrictions of normal device operation.</t>
    </r>
  </si>
  <si>
    <t xml:space="preserve">If x4 and x8 IDDs are listed in the datasheet together, use the same value in each table entry. </t>
  </si>
  <si>
    <t xml:space="preserve">CLK default can be written over, Spare formula to right </t>
  </si>
  <si>
    <t>Row 9 is the clock rate the DRAM is operating at. This is one half of the data rate. Calculator inserts clock rate selected, maybe over written; if done, spare formula to the left may be pasted</t>
  </si>
  <si>
    <r>
      <t>I</t>
    </r>
    <r>
      <rPr>
        <sz val="9"/>
        <rFont val="Arial"/>
        <family val="2"/>
      </rPr>
      <t>DD</t>
    </r>
    <r>
      <rPr>
        <sz val="11"/>
        <rFont val="Arial"/>
        <family val="2"/>
      </rPr>
      <t>5B</t>
    </r>
  </si>
  <si>
    <t>If IDD5R is provided instead of IDD5B, convert with following formula: IDD5B = (IDD5R-IDD3N) * tRFC/tREFI + IDD3N #</t>
  </si>
  <si>
    <t>If IPP5R is provided instead of IPP5B, convert with following formula: IPP5B = (IPP5R-IPP3N) * tRFC/tREFI + IPP3N #</t>
  </si>
  <si>
    <t xml:space="preserve">    # if x8 calculated is less than x4, use x4 value; if x16 calculated is less than x4 or x8, use larger of x4 or x8</t>
  </si>
  <si>
    <r>
      <t>I</t>
    </r>
    <r>
      <rPr>
        <sz val="9"/>
        <rFont val="Arial"/>
        <family val="2"/>
      </rPr>
      <t>DD</t>
    </r>
    <r>
      <rPr>
        <sz val="11"/>
        <rFont val="Arial"/>
        <family val="2"/>
      </rPr>
      <t>5R</t>
    </r>
  </si>
  <si>
    <r>
      <t>I</t>
    </r>
    <r>
      <rPr>
        <sz val="9"/>
        <rFont val="Arial"/>
        <family val="2"/>
      </rPr>
      <t>PP</t>
    </r>
    <r>
      <rPr>
        <sz val="11"/>
        <rFont val="Arial"/>
        <family val="2"/>
      </rPr>
      <t>5R</t>
    </r>
  </si>
  <si>
    <r>
      <t>I</t>
    </r>
    <r>
      <rPr>
        <sz val="9"/>
        <rFont val="Arial"/>
        <family val="2"/>
      </rPr>
      <t>DD</t>
    </r>
    <r>
      <rPr>
        <sz val="11"/>
        <rFont val="Arial"/>
        <family val="2"/>
      </rPr>
      <t>5B'</t>
    </r>
  </si>
  <si>
    <r>
      <t>I</t>
    </r>
    <r>
      <rPr>
        <sz val="9"/>
        <rFont val="Arial"/>
        <family val="2"/>
      </rPr>
      <t>PP</t>
    </r>
    <r>
      <rPr>
        <sz val="11"/>
        <rFont val="Arial"/>
        <family val="2"/>
      </rPr>
      <t>5B'</t>
    </r>
  </si>
  <si>
    <t>Enter IDD5R from datasheet</t>
  </si>
  <si>
    <t>Enter IPP5R from datasheet</t>
  </si>
  <si>
    <t>IDD5B" is calculated using IDD5R</t>
  </si>
  <si>
    <t>IPP5B" is calculated using IPP5R</t>
  </si>
  <si>
    <t>Activate Power</t>
  </si>
  <si>
    <t>RD/WR/Term Power</t>
  </si>
  <si>
    <t>Background  Power</t>
  </si>
  <si>
    <t>VDD Activate Power</t>
  </si>
  <si>
    <t>VPP Activate Power</t>
  </si>
  <si>
    <t>VDD RD/WR/Term Power</t>
  </si>
  <si>
    <t>VPP RD/WR/Term Power</t>
  </si>
  <si>
    <t>VDD Background  Power</t>
  </si>
  <si>
    <t>VPP Background  Power</t>
  </si>
  <si>
    <t>DDR4</t>
  </si>
  <si>
    <t>stack</t>
  </si>
  <si>
    <t>Data Rate MT/s</t>
  </si>
  <si>
    <t>Rank</t>
  </si>
  <si>
    <t>SDP</t>
  </si>
  <si>
    <t>dual</t>
  </si>
  <si>
    <t>condition</t>
  </si>
  <si>
    <t>Power Total PR    (mW)</t>
  </si>
  <si>
    <t>Power standby  (mW)</t>
  </si>
  <si>
    <t>Power Terminate  (mW)</t>
  </si>
  <si>
    <t xml:space="preserve">UDIMM power (W) </t>
  </si>
  <si>
    <t xml:space="preserve">RDIMM power (W) </t>
  </si>
  <si>
    <t>DDR4 SDRAM Power</t>
  </si>
  <si>
    <r>
      <t>I</t>
    </r>
    <r>
      <rPr>
        <sz val="9"/>
        <rFont val="Arial"/>
        <family val="2"/>
      </rPr>
      <t>PP</t>
    </r>
    <r>
      <rPr>
        <sz val="11"/>
        <rFont val="Arial"/>
        <family val="2"/>
      </rPr>
      <t>4R</t>
    </r>
  </si>
  <si>
    <r>
      <t>I</t>
    </r>
    <r>
      <rPr>
        <sz val="9"/>
        <rFont val="Arial"/>
        <family val="2"/>
      </rPr>
      <t>PP</t>
    </r>
    <r>
      <rPr>
        <sz val="11"/>
        <rFont val="Arial"/>
        <family val="2"/>
      </rPr>
      <t>4W</t>
    </r>
  </si>
  <si>
    <r>
      <t>I</t>
    </r>
    <r>
      <rPr>
        <sz val="8"/>
        <rFont val="Arial"/>
        <family val="2"/>
      </rPr>
      <t>PP</t>
    </r>
    <r>
      <rPr>
        <sz val="10"/>
        <rFont val="Arial"/>
        <family val="2"/>
      </rPr>
      <t>4W</t>
    </r>
  </si>
  <si>
    <r>
      <t>I</t>
    </r>
    <r>
      <rPr>
        <sz val="8"/>
        <rFont val="Arial"/>
        <family val="2"/>
      </rPr>
      <t>PP</t>
    </r>
    <r>
      <rPr>
        <sz val="10"/>
        <rFont val="Arial"/>
        <family val="2"/>
      </rPr>
      <t>4R</t>
    </r>
  </si>
  <si>
    <t>Maximum VPP read burst current</t>
  </si>
  <si>
    <t>Maximum VPP write burst current</t>
  </si>
  <si>
    <t>na</t>
  </si>
  <si>
    <t>Use IPP3N for IPPSB</t>
  </si>
  <si>
    <t>Use IPPSB for either IPP4R or IPP4W if they don’t exist: if IPP4R or IPP4W is less than IPPSB then use IPPSB</t>
  </si>
  <si>
    <t xml:space="preserve">  </t>
  </si>
  <si>
    <t>MDM: na</t>
  </si>
  <si>
    <t>IPP0</t>
  </si>
  <si>
    <t>IPP3N</t>
  </si>
  <si>
    <t>IPP4R</t>
  </si>
  <si>
    <t>IPP4W</t>
  </si>
  <si>
    <t>IPP5B</t>
  </si>
  <si>
    <t>pdqRD</t>
  </si>
  <si>
    <t>pdqRDoth</t>
  </si>
  <si>
    <t>pdqWR</t>
  </si>
  <si>
    <t>pdqWRoth</t>
  </si>
  <si>
    <t>Percentage of bits to toggle low each Read strobe edge</t>
  </si>
  <si>
    <t>Percentage of bits to toggle low each Write strobe edge</t>
  </si>
  <si>
    <t>Adjust accordingly; suggest using 50%,  100% is WC</t>
  </si>
  <si>
    <t>RD Data % low</t>
  </si>
  <si>
    <t>WR Data % low</t>
  </si>
</sst>
</file>

<file path=xl/styles.xml><?xml version="1.0" encoding="utf-8"?>
<styleSheet xmlns="http://schemas.openxmlformats.org/spreadsheetml/2006/main">
  <numFmts count="8">
    <numFmt numFmtId="43" formatCode="_(* #,##0.00_);_(* \(#,##0.00\);_(* &quot;-&quot;??_);_(@_)"/>
    <numFmt numFmtId="164" formatCode="0.0"/>
    <numFmt numFmtId="165" formatCode="mmmm\ d\,\ yyyy"/>
    <numFmt numFmtId="166" formatCode="_(* #,##0.0_);_(* \(#,##0.0\);_(* &quot;-&quot;??_);_(@_)"/>
    <numFmt numFmtId="167" formatCode="_(* #,##0_);_(* \(#,##0\);_(* &quot;-&quot;??_);_(@_)"/>
    <numFmt numFmtId="168" formatCode="0.000"/>
    <numFmt numFmtId="169" formatCode="0.0%"/>
    <numFmt numFmtId="170" formatCode="0.000000"/>
  </numFmts>
  <fonts count="57">
    <font>
      <sz val="10"/>
      <name val="Arial"/>
    </font>
    <font>
      <sz val="11"/>
      <color theme="1"/>
      <name val="Calibri"/>
      <family val="2"/>
      <scheme val="minor"/>
    </font>
    <font>
      <sz val="10"/>
      <name val="Arial"/>
      <family val="2"/>
    </font>
    <font>
      <b/>
      <sz val="10"/>
      <name val="Arial"/>
      <family val="2"/>
    </font>
    <font>
      <b/>
      <sz val="10"/>
      <color indexed="9"/>
      <name val="Arial"/>
      <family val="2"/>
    </font>
    <font>
      <sz val="10"/>
      <name val="Arial"/>
      <family val="2"/>
    </font>
    <font>
      <sz val="10"/>
      <name val="Frutiger 55 Roman"/>
      <family val="2"/>
    </font>
    <font>
      <b/>
      <sz val="10"/>
      <name val="Frutiger 55 Roman"/>
      <family val="2"/>
    </font>
    <font>
      <b/>
      <sz val="10"/>
      <color indexed="9"/>
      <name val="Frutiger 55 Roman"/>
      <family val="2"/>
    </font>
    <font>
      <u/>
      <sz val="10"/>
      <color indexed="12"/>
      <name val="Arial"/>
      <family val="2"/>
    </font>
    <font>
      <b/>
      <sz val="12"/>
      <name val="Arial"/>
      <family val="2"/>
    </font>
    <font>
      <b/>
      <sz val="12"/>
      <color indexed="10"/>
      <name val="Arial"/>
      <family val="2"/>
    </font>
    <font>
      <b/>
      <sz val="10"/>
      <color indexed="10"/>
      <name val="Arial"/>
      <family val="2"/>
    </font>
    <font>
      <b/>
      <i/>
      <sz val="10"/>
      <color indexed="10"/>
      <name val="Arial"/>
      <family val="2"/>
    </font>
    <font>
      <b/>
      <sz val="10"/>
      <color indexed="9"/>
      <name val="Arial"/>
      <family val="2"/>
    </font>
    <font>
      <sz val="10"/>
      <color indexed="8"/>
      <name val="Arial"/>
      <family val="2"/>
    </font>
    <font>
      <b/>
      <sz val="12"/>
      <color indexed="9"/>
      <name val="Arial"/>
      <family val="2"/>
    </font>
    <font>
      <b/>
      <sz val="10"/>
      <color indexed="8"/>
      <name val="Arial"/>
      <family val="2"/>
    </font>
    <font>
      <b/>
      <u/>
      <sz val="10"/>
      <color indexed="24"/>
      <name val="Arial"/>
      <family val="2"/>
    </font>
    <font>
      <b/>
      <sz val="10"/>
      <color indexed="24"/>
      <name val="Arial"/>
      <family val="2"/>
    </font>
    <font>
      <sz val="18"/>
      <color indexed="24"/>
      <name val="B Frutiger Bold"/>
    </font>
    <font>
      <sz val="14"/>
      <name val="B Frutiger Bold"/>
    </font>
    <font>
      <b/>
      <vertAlign val="superscript"/>
      <sz val="10"/>
      <name val="Arial"/>
      <family val="2"/>
    </font>
    <font>
      <u/>
      <sz val="18"/>
      <color indexed="24"/>
      <name val="Arial"/>
      <family val="2"/>
    </font>
    <font>
      <b/>
      <sz val="18"/>
      <color indexed="24"/>
      <name val="Arial"/>
      <family val="2"/>
    </font>
    <font>
      <b/>
      <sz val="11"/>
      <name val="Arial"/>
      <family val="2"/>
    </font>
    <font>
      <sz val="11"/>
      <name val="Arial"/>
      <family val="2"/>
    </font>
    <font>
      <b/>
      <sz val="11"/>
      <color indexed="9"/>
      <name val="Arial"/>
      <family val="2"/>
    </font>
    <font>
      <sz val="11"/>
      <color indexed="9"/>
      <name val="Arial"/>
      <family val="2"/>
    </font>
    <font>
      <sz val="8"/>
      <name val="Arial"/>
      <family val="2"/>
    </font>
    <font>
      <vertAlign val="superscript"/>
      <sz val="10"/>
      <name val="Arial"/>
      <family val="2"/>
    </font>
    <font>
      <vertAlign val="superscript"/>
      <sz val="11"/>
      <name val="Arial"/>
      <family val="2"/>
    </font>
    <font>
      <sz val="11"/>
      <color indexed="8"/>
      <name val="Arial"/>
      <family val="2"/>
    </font>
    <font>
      <sz val="11"/>
      <color indexed="10"/>
      <name val="Arial"/>
      <family val="2"/>
    </font>
    <font>
      <b/>
      <sz val="8"/>
      <color indexed="9"/>
      <name val="Arial"/>
      <family val="2"/>
    </font>
    <font>
      <sz val="10.5"/>
      <name val="Arial"/>
      <family val="2"/>
    </font>
    <font>
      <sz val="9"/>
      <name val="Arial"/>
      <family val="2"/>
    </font>
    <font>
      <sz val="18"/>
      <name val="Arial"/>
      <family val="2"/>
    </font>
    <font>
      <b/>
      <sz val="8"/>
      <name val="Arial"/>
      <family val="2"/>
    </font>
    <font>
      <sz val="12"/>
      <name val="Arial"/>
      <family val="2"/>
    </font>
    <font>
      <b/>
      <i/>
      <sz val="10"/>
      <color indexed="8"/>
      <name val="Arial"/>
      <family val="2"/>
    </font>
    <font>
      <b/>
      <sz val="10"/>
      <color theme="0"/>
      <name val="Arial"/>
      <family val="2"/>
    </font>
    <font>
      <b/>
      <sz val="11"/>
      <color theme="1"/>
      <name val="Arial"/>
      <family val="2"/>
    </font>
    <font>
      <b/>
      <sz val="10"/>
      <color rgb="FFFF0000"/>
      <name val="Arial"/>
      <family val="2"/>
    </font>
    <font>
      <sz val="10"/>
      <color theme="0" tint="-0.34998626667073579"/>
      <name val="Arial"/>
      <family val="2"/>
    </font>
    <font>
      <b/>
      <sz val="11"/>
      <color theme="0"/>
      <name val="Arial"/>
      <family val="2"/>
    </font>
    <font>
      <b/>
      <sz val="12"/>
      <color rgb="FFFF0000"/>
      <name val="Arial"/>
      <family val="2"/>
    </font>
    <font>
      <sz val="10"/>
      <color theme="0" tint="-0.499984740745262"/>
      <name val="Arial"/>
      <family val="2"/>
    </font>
    <font>
      <b/>
      <i/>
      <sz val="10"/>
      <name val="Arial"/>
      <family val="2"/>
    </font>
    <font>
      <b/>
      <i/>
      <sz val="10"/>
      <color rgb="FF002060"/>
      <name val="Arial"/>
      <family val="2"/>
    </font>
    <font>
      <b/>
      <sz val="10"/>
      <color rgb="FFFF0000"/>
      <name val="Frutiger 55 Roman"/>
      <family val="2"/>
    </font>
    <font>
      <b/>
      <sz val="10"/>
      <color theme="1"/>
      <name val="Arial"/>
      <family val="2"/>
    </font>
    <font>
      <sz val="10"/>
      <color theme="1"/>
      <name val="Arial"/>
      <family val="2"/>
    </font>
    <font>
      <sz val="11"/>
      <color theme="1"/>
      <name val="Arial"/>
      <family val="2"/>
    </font>
    <font>
      <sz val="12"/>
      <color theme="0"/>
      <name val="Arial"/>
      <family val="2"/>
    </font>
    <font>
      <b/>
      <sz val="9"/>
      <color theme="0"/>
      <name val="Arial"/>
      <family val="2"/>
    </font>
    <font>
      <sz val="10"/>
      <color rgb="FFFF0000"/>
      <name val="Arial"/>
      <family val="2"/>
    </font>
  </fonts>
  <fills count="33">
    <fill>
      <patternFill patternType="none"/>
    </fill>
    <fill>
      <patternFill patternType="gray125"/>
    </fill>
    <fill>
      <patternFill patternType="solid">
        <fgColor indexed="57"/>
        <bgColor indexed="64"/>
      </patternFill>
    </fill>
    <fill>
      <patternFill patternType="solid">
        <fgColor indexed="44"/>
        <bgColor indexed="64"/>
      </patternFill>
    </fill>
    <fill>
      <patternFill patternType="solid">
        <fgColor indexed="24"/>
        <bgColor indexed="64"/>
      </patternFill>
    </fill>
    <fill>
      <patternFill patternType="solid">
        <fgColor indexed="25"/>
        <bgColor indexed="64"/>
      </patternFill>
    </fill>
    <fill>
      <patternFill patternType="solid">
        <fgColor indexed="22"/>
        <bgColor indexed="64"/>
      </patternFill>
    </fill>
    <fill>
      <patternFill patternType="solid">
        <fgColor indexed="8"/>
        <bgColor indexed="64"/>
      </patternFill>
    </fill>
    <fill>
      <patternFill patternType="solid">
        <fgColor rgb="FF006666"/>
        <bgColor indexed="64"/>
      </patternFill>
    </fill>
    <fill>
      <patternFill patternType="solid">
        <fgColor theme="0" tint="-0.14999847407452621"/>
        <bgColor indexed="64"/>
      </patternFill>
    </fill>
    <fill>
      <patternFill patternType="solid">
        <fgColor rgb="FFC9FF93"/>
        <bgColor indexed="64"/>
      </patternFill>
    </fill>
    <fill>
      <patternFill patternType="solid">
        <fgColor rgb="FFCCFF99"/>
        <bgColor indexed="64"/>
      </patternFill>
    </fill>
    <fill>
      <patternFill patternType="solid">
        <fgColor theme="0" tint="-0.34998626667073579"/>
        <bgColor indexed="64"/>
      </patternFill>
    </fill>
    <fill>
      <patternFill patternType="solid">
        <fgColor rgb="FF492F92"/>
        <bgColor indexed="64"/>
      </patternFill>
    </fill>
    <fill>
      <patternFill patternType="solid">
        <fgColor rgb="FF072A5E"/>
        <bgColor indexed="64"/>
      </patternFill>
    </fill>
    <fill>
      <patternFill patternType="solid">
        <fgColor rgb="FFF68933"/>
        <bgColor indexed="64"/>
      </patternFill>
    </fill>
    <fill>
      <patternFill patternType="solid">
        <fgColor rgb="FFEE3424"/>
        <bgColor indexed="64"/>
      </patternFill>
    </fill>
    <fill>
      <patternFill patternType="solid">
        <fgColor rgb="FFFFD1D1"/>
      </patternFill>
    </fill>
    <fill>
      <patternFill patternType="solid">
        <fgColor rgb="FFFCDDC4"/>
        <bgColor indexed="64"/>
      </patternFill>
    </fill>
    <fill>
      <patternFill patternType="solid">
        <fgColor rgb="FFA9C9F9"/>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rgb="FFFFFF00"/>
        <bgColor indexed="64"/>
      </patternFill>
    </fill>
    <fill>
      <patternFill patternType="solid">
        <fgColor theme="6" tint="0.59999389629810485"/>
        <bgColor indexed="64"/>
      </patternFill>
    </fill>
    <fill>
      <patternFill patternType="solid">
        <fgColor theme="6" tint="-0.249977111117893"/>
        <bgColor indexed="64"/>
      </patternFill>
    </fill>
    <fill>
      <patternFill patternType="solid">
        <fgColor rgb="FFE1FFE1"/>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theme="0"/>
        <bgColor indexed="64"/>
      </patternFill>
    </fill>
    <fill>
      <patternFill patternType="solid">
        <fgColor theme="3" tint="0.79998168889431442"/>
        <bgColor indexed="64"/>
      </patternFill>
    </fill>
    <fill>
      <patternFill patternType="solid">
        <fgColor theme="7" tint="0.59999389629810485"/>
        <bgColor indexed="64"/>
      </patternFill>
    </fill>
  </fills>
  <borders count="54">
    <border>
      <left/>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style="thin">
        <color indexed="64"/>
      </left>
      <right style="medium">
        <color indexed="64"/>
      </right>
      <top/>
      <bottom style="thin">
        <color indexed="64"/>
      </bottom>
      <diagonal/>
    </border>
    <border>
      <left/>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s>
  <cellStyleXfs count="4">
    <xf numFmtId="0" fontId="0" fillId="0" borderId="0"/>
    <xf numFmtId="43" fontId="2" fillId="0" borderId="0" applyFont="0" applyFill="0" applyBorder="0" applyAlignment="0" applyProtection="0"/>
    <xf numFmtId="0" fontId="9" fillId="0" borderId="0" applyNumberFormat="0" applyFill="0" applyBorder="0" applyAlignment="0" applyProtection="0">
      <alignment vertical="top"/>
      <protection locked="0"/>
    </xf>
    <xf numFmtId="9" fontId="2" fillId="0" borderId="0" applyFont="0" applyFill="0" applyBorder="0" applyAlignment="0" applyProtection="0"/>
  </cellStyleXfs>
  <cellXfs count="429">
    <xf numFmtId="0" fontId="0" fillId="0" borderId="0" xfId="0"/>
    <xf numFmtId="0" fontId="0" fillId="0" borderId="0" xfId="0" quotePrefix="1"/>
    <xf numFmtId="0" fontId="0" fillId="0" borderId="0" xfId="0" applyBorder="1"/>
    <xf numFmtId="0" fontId="0" fillId="0" borderId="0" xfId="0" applyAlignment="1">
      <alignment vertical="top"/>
    </xf>
    <xf numFmtId="0" fontId="0" fillId="0" borderId="0" xfId="0" applyAlignment="1"/>
    <xf numFmtId="0" fontId="3" fillId="0" borderId="0" xfId="0" applyFont="1" applyAlignment="1"/>
    <xf numFmtId="0" fontId="5" fillId="0" borderId="0" xfId="0" applyFont="1" applyAlignment="1">
      <alignment horizontal="center" vertical="center" wrapText="1"/>
    </xf>
    <xf numFmtId="0" fontId="6" fillId="0" borderId="1" xfId="0" applyFont="1" applyBorder="1"/>
    <xf numFmtId="0" fontId="6" fillId="0" borderId="2" xfId="0" applyFont="1" applyBorder="1"/>
    <xf numFmtId="0" fontId="7" fillId="0" borderId="3" xfId="0" applyFont="1" applyBorder="1" applyAlignment="1">
      <alignment vertical="top"/>
    </xf>
    <xf numFmtId="0" fontId="7" fillId="0" borderId="4" xfId="0" applyFont="1" applyBorder="1" applyAlignment="1">
      <alignment vertical="top"/>
    </xf>
    <xf numFmtId="0" fontId="6" fillId="0" borderId="5" xfId="0" applyFont="1" applyBorder="1" applyAlignment="1">
      <alignment vertical="top" wrapText="1"/>
    </xf>
    <xf numFmtId="0" fontId="7" fillId="0" borderId="6" xfId="0" applyFont="1" applyBorder="1" applyAlignment="1">
      <alignment vertical="top"/>
    </xf>
    <xf numFmtId="0" fontId="7" fillId="0" borderId="0" xfId="0" applyFont="1" applyBorder="1" applyAlignment="1">
      <alignment vertical="top"/>
    </xf>
    <xf numFmtId="165" fontId="6" fillId="0" borderId="7" xfId="0" applyNumberFormat="1" applyFont="1" applyBorder="1" applyAlignment="1">
      <alignment horizontal="left" vertical="top" wrapText="1"/>
    </xf>
    <xf numFmtId="0" fontId="6" fillId="0" borderId="7" xfId="0" applyFont="1" applyBorder="1" applyAlignment="1">
      <alignment vertical="top" wrapText="1"/>
    </xf>
    <xf numFmtId="0" fontId="7" fillId="0" borderId="8" xfId="0" applyFont="1" applyBorder="1" applyAlignment="1">
      <alignment vertical="top"/>
    </xf>
    <xf numFmtId="0" fontId="6" fillId="0" borderId="9" xfId="0" applyFont="1" applyBorder="1" applyAlignment="1">
      <alignment vertical="top" wrapText="1"/>
    </xf>
    <xf numFmtId="0" fontId="6" fillId="0" borderId="0" xfId="0" applyFont="1"/>
    <xf numFmtId="0" fontId="6" fillId="0" borderId="0" xfId="0" quotePrefix="1" applyFont="1" applyAlignment="1">
      <alignment horizontal="center"/>
    </xf>
    <xf numFmtId="0" fontId="6" fillId="0" borderId="0" xfId="0" applyFont="1" applyAlignment="1"/>
    <xf numFmtId="0" fontId="7" fillId="0" borderId="10" xfId="0" applyFont="1" applyBorder="1" applyAlignment="1">
      <alignment vertical="top"/>
    </xf>
    <xf numFmtId="0" fontId="3" fillId="0" borderId="0" xfId="0" applyFont="1"/>
    <xf numFmtId="0" fontId="3" fillId="0" borderId="0" xfId="0" applyFont="1" applyAlignment="1">
      <alignment horizontal="left" vertical="top" wrapText="1"/>
    </xf>
    <xf numFmtId="0" fontId="10" fillId="0" borderId="0" xfId="0" applyFont="1"/>
    <xf numFmtId="0" fontId="3" fillId="0" borderId="0" xfId="0" applyFont="1" applyAlignment="1">
      <alignment wrapText="1"/>
    </xf>
    <xf numFmtId="0" fontId="6" fillId="0" borderId="0" xfId="0" applyFont="1" applyFill="1" applyBorder="1"/>
    <xf numFmtId="0" fontId="13" fillId="0" borderId="0" xfId="0" applyFont="1"/>
    <xf numFmtId="0" fontId="13" fillId="0" borderId="0" xfId="0" applyFont="1" applyAlignment="1">
      <alignment vertical="top"/>
    </xf>
    <xf numFmtId="0" fontId="7" fillId="0" borderId="0" xfId="0" applyFont="1" applyAlignment="1">
      <alignment vertical="top"/>
    </xf>
    <xf numFmtId="0" fontId="7" fillId="0" borderId="0" xfId="0" applyFont="1" applyAlignment="1">
      <alignment horizontal="center" vertical="top"/>
    </xf>
    <xf numFmtId="0" fontId="0" fillId="0" borderId="12" xfId="0" applyBorder="1"/>
    <xf numFmtId="0" fontId="0" fillId="0" borderId="0" xfId="0" applyAlignment="1">
      <alignment vertical="top" wrapText="1"/>
    </xf>
    <xf numFmtId="0" fontId="0" fillId="0" borderId="0" xfId="0" applyAlignment="1">
      <alignment horizontal="center"/>
    </xf>
    <xf numFmtId="0" fontId="0" fillId="0" borderId="0" xfId="0" applyFill="1"/>
    <xf numFmtId="0" fontId="8" fillId="2" borderId="12" xfId="0" quotePrefix="1" applyFont="1" applyFill="1" applyBorder="1" applyAlignment="1">
      <alignment horizontal="right"/>
    </xf>
    <xf numFmtId="0" fontId="8" fillId="2" borderId="13" xfId="0" applyFont="1" applyFill="1" applyBorder="1" applyAlignment="1">
      <alignment horizontal="right"/>
    </xf>
    <xf numFmtId="0" fontId="6" fillId="0" borderId="4" xfId="0" applyFont="1" applyBorder="1"/>
    <xf numFmtId="0" fontId="0" fillId="0" borderId="4" xfId="0" applyBorder="1"/>
    <xf numFmtId="0" fontId="18" fillId="0" borderId="0" xfId="0" applyFont="1"/>
    <xf numFmtId="0" fontId="19"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17" fillId="0" borderId="12" xfId="0" applyFont="1" applyFill="1" applyBorder="1" applyAlignment="1">
      <alignment horizontal="center" vertical="center"/>
    </xf>
    <xf numFmtId="0" fontId="15" fillId="0" borderId="0" xfId="0" applyFont="1" applyFill="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0" xfId="0" applyFont="1" applyAlignment="1">
      <alignment horizontal="center" vertical="center"/>
    </xf>
    <xf numFmtId="0" fontId="3" fillId="0" borderId="0" xfId="0" applyFont="1" applyAlignment="1">
      <alignment vertical="center"/>
    </xf>
    <xf numFmtId="164" fontId="0" fillId="0" borderId="0" xfId="0" applyNumberFormat="1" applyBorder="1"/>
    <xf numFmtId="166" fontId="0" fillId="0" borderId="0" xfId="1" applyNumberFormat="1" applyFont="1" applyBorder="1"/>
    <xf numFmtId="167" fontId="0" fillId="0" borderId="0" xfId="1" applyNumberFormat="1" applyFont="1" applyBorder="1"/>
    <xf numFmtId="0" fontId="0" fillId="0" borderId="0" xfId="1" applyNumberFormat="1" applyFont="1" applyBorder="1"/>
    <xf numFmtId="0" fontId="23" fillId="0" borderId="0" xfId="0" applyFont="1"/>
    <xf numFmtId="0" fontId="25" fillId="0" borderId="0" xfId="0" applyFont="1" applyAlignment="1">
      <alignment vertical="center"/>
    </xf>
    <xf numFmtId="0" fontId="5" fillId="0" borderId="15" xfId="0" applyFont="1" applyBorder="1" applyAlignment="1">
      <alignment vertical="center"/>
    </xf>
    <xf numFmtId="0" fontId="5" fillId="0" borderId="12" xfId="0" applyFont="1" applyBorder="1" applyAlignment="1">
      <alignment vertical="center"/>
    </xf>
    <xf numFmtId="0" fontId="26" fillId="0" borderId="15" xfId="0" applyFont="1" applyBorder="1" applyAlignment="1">
      <alignment vertical="center"/>
    </xf>
    <xf numFmtId="0" fontId="26" fillId="0" borderId="12" xfId="0" applyFont="1" applyBorder="1" applyAlignment="1">
      <alignment vertical="center"/>
    </xf>
    <xf numFmtId="0" fontId="5" fillId="0" borderId="0" xfId="0" applyFont="1" applyAlignment="1">
      <alignment horizontal="center" vertical="center"/>
    </xf>
    <xf numFmtId="0" fontId="30" fillId="0" borderId="12" xfId="0" applyFont="1" applyBorder="1" applyAlignment="1">
      <alignment vertical="center"/>
    </xf>
    <xf numFmtId="0" fontId="5" fillId="0" borderId="0" xfId="0" applyFont="1" applyAlignment="1">
      <alignment vertical="center"/>
    </xf>
    <xf numFmtId="0" fontId="5" fillId="0" borderId="0" xfId="0" applyFont="1" applyAlignment="1">
      <alignment vertical="center" wrapText="1"/>
    </xf>
    <xf numFmtId="0" fontId="3" fillId="3" borderId="16" xfId="0" applyFont="1" applyFill="1" applyBorder="1" applyAlignment="1">
      <alignment vertical="center"/>
    </xf>
    <xf numFmtId="0" fontId="3" fillId="3" borderId="13" xfId="0" applyFont="1" applyFill="1" applyBorder="1" applyAlignment="1">
      <alignment vertical="center"/>
    </xf>
    <xf numFmtId="0" fontId="30" fillId="0" borderId="15" xfId="0" applyFont="1" applyBorder="1" applyAlignment="1">
      <alignment vertical="center"/>
    </xf>
    <xf numFmtId="0" fontId="5" fillId="0" borderId="17" xfId="0" applyFont="1" applyBorder="1" applyAlignment="1">
      <alignment vertical="center"/>
    </xf>
    <xf numFmtId="0" fontId="5" fillId="0" borderId="18" xfId="0" applyFont="1" applyBorder="1" applyAlignment="1">
      <alignment vertical="center"/>
    </xf>
    <xf numFmtId="0" fontId="27" fillId="4" borderId="12" xfId="0" applyFont="1" applyFill="1" applyBorder="1" applyAlignment="1">
      <alignment vertical="center"/>
    </xf>
    <xf numFmtId="0" fontId="27" fillId="4" borderId="12" xfId="0" applyFont="1" applyFill="1" applyBorder="1" applyAlignment="1">
      <alignment vertical="center" wrapText="1"/>
    </xf>
    <xf numFmtId="0" fontId="27" fillId="4" borderId="12" xfId="0" quotePrefix="1" applyFont="1" applyFill="1" applyBorder="1" applyAlignment="1">
      <alignment horizontal="center" vertical="center"/>
    </xf>
    <xf numFmtId="0" fontId="27" fillId="0" borderId="0" xfId="0" applyFont="1" applyAlignment="1">
      <alignment horizontal="center" vertical="center"/>
    </xf>
    <xf numFmtId="0" fontId="26" fillId="0" borderId="0" xfId="0" applyFont="1" applyAlignment="1">
      <alignment horizontal="center" vertical="center"/>
    </xf>
    <xf numFmtId="0" fontId="26" fillId="6" borderId="12" xfId="0" applyFont="1" applyFill="1" applyBorder="1" applyAlignment="1">
      <alignment vertical="center"/>
    </xf>
    <xf numFmtId="0" fontId="27" fillId="5" borderId="12" xfId="0" applyFont="1" applyFill="1" applyBorder="1" applyAlignment="1">
      <alignment horizontal="center" vertical="center"/>
    </xf>
    <xf numFmtId="0" fontId="28" fillId="0" borderId="0" xfId="0" applyFont="1" applyAlignment="1">
      <alignment horizontal="center" vertical="center"/>
    </xf>
    <xf numFmtId="0" fontId="28" fillId="0" borderId="0" xfId="0" applyFont="1" applyFill="1" applyAlignment="1">
      <alignment horizontal="center" vertical="center"/>
    </xf>
    <xf numFmtId="0" fontId="27" fillId="0" borderId="12" xfId="0" applyFont="1" applyFill="1" applyBorder="1" applyAlignment="1">
      <alignment horizontal="center" vertical="center"/>
    </xf>
    <xf numFmtId="0" fontId="28" fillId="0" borderId="12" xfId="0" applyFont="1" applyBorder="1" applyAlignment="1">
      <alignment horizontal="center" vertical="center"/>
    </xf>
    <xf numFmtId="0" fontId="31" fillId="0" borderId="12" xfId="0" applyFont="1" applyBorder="1" applyAlignment="1">
      <alignment vertical="center"/>
    </xf>
    <xf numFmtId="0" fontId="26" fillId="0" borderId="16" xfId="0" applyFont="1" applyBorder="1"/>
    <xf numFmtId="0" fontId="26" fillId="0" borderId="15" xfId="0" applyFont="1" applyBorder="1"/>
    <xf numFmtId="0" fontId="27" fillId="4" borderId="16" xfId="0" applyFont="1" applyFill="1" applyBorder="1" applyAlignment="1">
      <alignment vertical="center"/>
    </xf>
    <xf numFmtId="0" fontId="27" fillId="4" borderId="13" xfId="0" applyFont="1" applyFill="1" applyBorder="1" applyAlignment="1">
      <alignment vertical="center"/>
    </xf>
    <xf numFmtId="0" fontId="27" fillId="4" borderId="13" xfId="0" applyFont="1" applyFill="1" applyBorder="1" applyAlignment="1">
      <alignment horizontal="center" vertical="center"/>
    </xf>
    <xf numFmtId="0" fontId="27" fillId="4" borderId="1" xfId="0" applyFont="1" applyFill="1" applyBorder="1" applyAlignment="1">
      <alignment vertical="center"/>
    </xf>
    <xf numFmtId="0" fontId="32" fillId="0" borderId="12" xfId="0" quotePrefix="1" applyFont="1" applyFill="1" applyBorder="1" applyAlignment="1">
      <alignment horizontal="center" vertical="center"/>
    </xf>
    <xf numFmtId="0" fontId="32" fillId="0" borderId="12" xfId="0" applyFont="1" applyBorder="1" applyAlignment="1">
      <alignment horizontal="center" vertical="center"/>
    </xf>
    <xf numFmtId="0" fontId="32" fillId="0" borderId="12" xfId="0" applyFont="1" applyFill="1" applyBorder="1" applyAlignment="1">
      <alignment horizontal="center" vertical="center"/>
    </xf>
    <xf numFmtId="0" fontId="31" fillId="0" borderId="15" xfId="0" applyFont="1" applyBorder="1" applyAlignment="1">
      <alignment vertical="center"/>
    </xf>
    <xf numFmtId="0" fontId="31" fillId="0" borderId="17" xfId="0" applyFont="1" applyBorder="1" applyAlignment="1">
      <alignment vertical="center"/>
    </xf>
    <xf numFmtId="0" fontId="26" fillId="0" borderId="18" xfId="0" applyFont="1" applyBorder="1" applyAlignment="1">
      <alignment vertical="center"/>
    </xf>
    <xf numFmtId="0" fontId="32" fillId="0" borderId="18" xfId="0" quotePrefix="1" applyFont="1" applyFill="1" applyBorder="1" applyAlignment="1">
      <alignment horizontal="center" vertical="center"/>
    </xf>
    <xf numFmtId="0" fontId="26" fillId="0" borderId="2" xfId="0" applyFont="1" applyBorder="1" applyAlignment="1">
      <alignment horizontal="center" vertical="center"/>
    </xf>
    <xf numFmtId="0" fontId="26" fillId="0" borderId="19" xfId="0" applyFont="1" applyBorder="1" applyAlignment="1">
      <alignment horizontal="center" vertical="center"/>
    </xf>
    <xf numFmtId="0" fontId="26" fillId="0" borderId="16" xfId="0" applyFont="1" applyBorder="1" applyAlignment="1">
      <alignment vertical="top" wrapText="1"/>
    </xf>
    <xf numFmtId="0" fontId="26" fillId="0" borderId="13" xfId="0" applyFont="1" applyBorder="1" applyAlignment="1">
      <alignment horizontal="center" vertical="top"/>
    </xf>
    <xf numFmtId="0" fontId="33" fillId="0" borderId="1" xfId="0" applyFont="1" applyBorder="1" applyAlignment="1">
      <alignment vertical="top"/>
    </xf>
    <xf numFmtId="0" fontId="26" fillId="0" borderId="0" xfId="0" applyFont="1" applyAlignment="1">
      <alignment vertical="top" wrapText="1"/>
    </xf>
    <xf numFmtId="0" fontId="26" fillId="0" borderId="15" xfId="0" applyFont="1" applyBorder="1" applyAlignment="1">
      <alignment vertical="top" wrapText="1"/>
    </xf>
    <xf numFmtId="0" fontId="26" fillId="0" borderId="12" xfId="0" applyFont="1" applyBorder="1" applyAlignment="1">
      <alignment horizontal="center" vertical="top"/>
    </xf>
    <xf numFmtId="0" fontId="33" fillId="0" borderId="2" xfId="0" applyFont="1" applyBorder="1" applyAlignment="1">
      <alignment vertical="top"/>
    </xf>
    <xf numFmtId="0" fontId="32" fillId="0" borderId="2" xfId="0" applyFont="1" applyBorder="1" applyAlignment="1">
      <alignment vertical="top"/>
    </xf>
    <xf numFmtId="0" fontId="26" fillId="0" borderId="20" xfId="0" applyFont="1" applyBorder="1" applyAlignment="1">
      <alignment vertical="top" wrapText="1"/>
    </xf>
    <xf numFmtId="0" fontId="26" fillId="0" borderId="2" xfId="0" applyFont="1" applyBorder="1" applyAlignment="1">
      <alignment vertical="top" wrapText="1"/>
    </xf>
    <xf numFmtId="0" fontId="26" fillId="0" borderId="2" xfId="0" applyFont="1" applyBorder="1" applyAlignment="1">
      <alignment vertical="top"/>
    </xf>
    <xf numFmtId="0" fontId="26" fillId="0" borderId="0" xfId="0" applyFont="1" applyBorder="1" applyAlignment="1">
      <alignment vertical="top"/>
    </xf>
    <xf numFmtId="0" fontId="26" fillId="0" borderId="21" xfId="0" applyFont="1" applyBorder="1" applyAlignment="1">
      <alignment vertical="top" wrapText="1"/>
    </xf>
    <xf numFmtId="0" fontId="26" fillId="0" borderId="18" xfId="0" applyFont="1" applyBorder="1" applyAlignment="1">
      <alignment horizontal="center" vertical="top"/>
    </xf>
    <xf numFmtId="0" fontId="25" fillId="0" borderId="0" xfId="0" applyFont="1" applyAlignment="1">
      <alignment horizontal="center" vertical="top"/>
    </xf>
    <xf numFmtId="0" fontId="25" fillId="0" borderId="0" xfId="0" applyFont="1" applyAlignment="1">
      <alignment vertical="top" wrapText="1"/>
    </xf>
    <xf numFmtId="0" fontId="26" fillId="0" borderId="22" xfId="0" applyFont="1" applyBorder="1" applyAlignment="1">
      <alignment vertical="top"/>
    </xf>
    <xf numFmtId="0" fontId="26" fillId="0" borderId="23" xfId="0" applyFont="1" applyBorder="1" applyAlignment="1">
      <alignment vertical="top"/>
    </xf>
    <xf numFmtId="0" fontId="3" fillId="0" borderId="3"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3" fillId="0" borderId="0" xfId="0" applyNumberFormat="1" applyFont="1" applyAlignment="1">
      <alignment vertical="center"/>
    </xf>
    <xf numFmtId="164" fontId="16" fillId="4" borderId="25" xfId="0" applyNumberFormat="1" applyFont="1" applyFill="1" applyBorder="1" applyAlignment="1">
      <alignment vertical="center"/>
    </xf>
    <xf numFmtId="0" fontId="31" fillId="0" borderId="24" xfId="0" applyFont="1" applyBorder="1" applyAlignment="1">
      <alignment vertical="top"/>
    </xf>
    <xf numFmtId="0" fontId="9" fillId="0" borderId="7" xfId="2" applyBorder="1" applyAlignment="1" applyProtection="1">
      <alignment vertical="top" wrapText="1"/>
    </xf>
    <xf numFmtId="0" fontId="6" fillId="0" borderId="0" xfId="0" applyFont="1" applyAlignment="1">
      <alignment horizontal="center"/>
    </xf>
    <xf numFmtId="0" fontId="5" fillId="0" borderId="2" xfId="0" applyFont="1" applyBorder="1" applyAlignment="1">
      <alignment horizontal="center" vertical="center"/>
    </xf>
    <xf numFmtId="0" fontId="5" fillId="0" borderId="19" xfId="0" applyFont="1" applyBorder="1" applyAlignment="1">
      <alignment horizontal="center" vertical="center"/>
    </xf>
    <xf numFmtId="0" fontId="3" fillId="0" borderId="0" xfId="0" applyFont="1" applyAlignment="1">
      <alignment horizontal="center" vertical="center"/>
    </xf>
    <xf numFmtId="0" fontId="16" fillId="4" borderId="26" xfId="0" applyFont="1" applyFill="1" applyBorder="1" applyAlignment="1">
      <alignment horizontal="center" vertical="center"/>
    </xf>
    <xf numFmtId="0" fontId="0" fillId="0" borderId="0" xfId="0" applyAlignment="1">
      <alignment horizontal="centerContinuous" vertical="top" wrapText="1"/>
    </xf>
    <xf numFmtId="0" fontId="35" fillId="0" borderId="0" xfId="0" applyFont="1" applyAlignment="1">
      <alignment horizontal="centerContinuous" vertical="top" wrapText="1"/>
    </xf>
    <xf numFmtId="0" fontId="24" fillId="0" borderId="0" xfId="0" applyFont="1" applyAlignment="1">
      <alignment horizontal="centerContinuous"/>
    </xf>
    <xf numFmtId="0" fontId="26" fillId="0" borderId="0" xfId="0" applyFont="1" applyAlignment="1">
      <alignment horizontal="centerContinuous" wrapText="1"/>
    </xf>
    <xf numFmtId="0" fontId="24" fillId="0" borderId="0" xfId="0" applyFont="1" applyFill="1" applyBorder="1" applyAlignment="1">
      <alignment horizontal="centerContinuous" wrapText="1"/>
    </xf>
    <xf numFmtId="0" fontId="37" fillId="0" borderId="0" xfId="0" applyFont="1" applyAlignment="1">
      <alignment horizontal="centerContinuous" vertical="top"/>
    </xf>
    <xf numFmtId="0" fontId="24" fillId="0" borderId="0" xfId="0" applyFont="1" applyAlignment="1">
      <alignment horizontal="centerContinuous" vertical="top"/>
    </xf>
    <xf numFmtId="0" fontId="20" fillId="0" borderId="0" xfId="0" applyFont="1" applyAlignment="1">
      <alignment horizontal="centerContinuous" vertical="top"/>
    </xf>
    <xf numFmtId="0" fontId="4" fillId="4" borderId="16" xfId="0" applyFont="1" applyFill="1" applyBorder="1" applyAlignment="1">
      <alignment horizontal="centerContinuous" vertical="center" wrapText="1"/>
    </xf>
    <xf numFmtId="0" fontId="4" fillId="4" borderId="13" xfId="0" applyFont="1" applyFill="1" applyBorder="1" applyAlignment="1">
      <alignment horizontal="centerContinuous" vertical="center" wrapText="1"/>
    </xf>
    <xf numFmtId="0" fontId="4" fillId="4" borderId="1" xfId="0" applyFont="1" applyFill="1" applyBorder="1" applyAlignment="1">
      <alignment horizontal="centerContinuous" vertical="center" wrapText="1"/>
    </xf>
    <xf numFmtId="0" fontId="0" fillId="0" borderId="0" xfId="0" applyAlignment="1">
      <alignment horizontal="center" wrapText="1"/>
    </xf>
    <xf numFmtId="0" fontId="3" fillId="0" borderId="0" xfId="0" applyFont="1" applyAlignment="1">
      <alignment horizontal="center" wrapText="1"/>
    </xf>
    <xf numFmtId="0" fontId="0" fillId="0" borderId="0" xfId="0" quotePrefix="1" applyAlignment="1">
      <alignment horizontal="center" wrapText="1"/>
    </xf>
    <xf numFmtId="0" fontId="5" fillId="0" borderId="0" xfId="0" applyFont="1" applyAlignment="1">
      <alignment horizontal="center" wrapText="1"/>
    </xf>
    <xf numFmtId="0" fontId="26" fillId="0" borderId="24" xfId="0" applyFont="1" applyBorder="1" applyAlignment="1">
      <alignment vertical="top" wrapText="1"/>
    </xf>
    <xf numFmtId="0" fontId="3" fillId="0" borderId="0" xfId="0" applyFont="1" applyAlignment="1">
      <alignment vertical="top"/>
    </xf>
    <xf numFmtId="0" fontId="3" fillId="0" borderId="0" xfId="0" applyFont="1" applyBorder="1" applyAlignment="1">
      <alignment horizontal="left" vertical="center"/>
    </xf>
    <xf numFmtId="0" fontId="3" fillId="0" borderId="0" xfId="0" applyFont="1" applyBorder="1" applyAlignment="1">
      <alignment vertical="top"/>
    </xf>
    <xf numFmtId="0" fontId="3" fillId="9" borderId="31" xfId="0" applyFont="1" applyFill="1" applyBorder="1" applyAlignment="1">
      <alignment horizontal="center" vertical="center" wrapText="1"/>
    </xf>
    <xf numFmtId="164" fontId="10" fillId="11" borderId="20" xfId="0" applyNumberFormat="1" applyFont="1" applyFill="1" applyBorder="1" applyAlignment="1">
      <alignment horizontal="center" vertical="center"/>
    </xf>
    <xf numFmtId="0" fontId="39" fillId="0" borderId="0" xfId="0" applyFont="1" applyAlignment="1">
      <alignment vertical="center"/>
    </xf>
    <xf numFmtId="0" fontId="10" fillId="0" borderId="0" xfId="0" applyFont="1" applyAlignment="1">
      <alignment vertical="center"/>
    </xf>
    <xf numFmtId="0" fontId="10" fillId="0" borderId="0" xfId="0" applyFont="1" applyAlignment="1">
      <alignment horizontal="center" vertical="center"/>
    </xf>
    <xf numFmtId="0" fontId="10" fillId="0" borderId="0" xfId="0" applyFont="1" applyAlignment="1">
      <alignment vertical="center" wrapText="1"/>
    </xf>
    <xf numFmtId="0" fontId="43" fillId="0" borderId="0" xfId="0" applyFont="1" applyAlignment="1">
      <alignment horizontal="left" vertical="top" wrapText="1"/>
    </xf>
    <xf numFmtId="0" fontId="10" fillId="0" borderId="0" xfId="0" applyFont="1" applyBorder="1" applyAlignment="1"/>
    <xf numFmtId="0" fontId="5" fillId="9" borderId="2" xfId="0" applyFont="1" applyFill="1" applyBorder="1" applyAlignment="1">
      <alignment horizontal="center" vertical="center"/>
    </xf>
    <xf numFmtId="0" fontId="5" fillId="9" borderId="19" xfId="0" applyFont="1" applyFill="1" applyBorder="1" applyAlignment="1">
      <alignment horizontal="center" vertical="center"/>
    </xf>
    <xf numFmtId="0" fontId="25" fillId="0" borderId="0" xfId="0" applyFont="1" applyAlignment="1">
      <alignment horizontal="right" vertical="center"/>
    </xf>
    <xf numFmtId="164" fontId="0" fillId="0" borderId="0" xfId="0" applyNumberFormat="1"/>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xf numFmtId="0" fontId="0" fillId="0" borderId="7" xfId="0" applyBorder="1"/>
    <xf numFmtId="0" fontId="0" fillId="0" borderId="8" xfId="0" applyBorder="1"/>
    <xf numFmtId="0" fontId="0" fillId="0" borderId="10" xfId="0" applyBorder="1"/>
    <xf numFmtId="0" fontId="0" fillId="0" borderId="9" xfId="0" applyBorder="1"/>
    <xf numFmtId="0" fontId="28" fillId="7" borderId="34" xfId="0" applyFont="1" applyFill="1" applyBorder="1" applyAlignment="1">
      <alignment vertical="center"/>
    </xf>
    <xf numFmtId="164" fontId="27" fillId="7" borderId="35" xfId="0" applyNumberFormat="1" applyFont="1" applyFill="1" applyBorder="1" applyAlignment="1">
      <alignment vertical="center"/>
    </xf>
    <xf numFmtId="164" fontId="27" fillId="7" borderId="12" xfId="0" applyNumberFormat="1" applyFont="1" applyFill="1" applyBorder="1" applyAlignment="1">
      <alignment vertical="center"/>
    </xf>
    <xf numFmtId="0" fontId="27" fillId="7" borderId="2" xfId="0" applyFont="1" applyFill="1" applyBorder="1" applyAlignment="1">
      <alignment vertical="center"/>
    </xf>
    <xf numFmtId="0" fontId="45" fillId="13" borderId="36" xfId="0" applyFont="1" applyFill="1" applyBorder="1" applyAlignment="1">
      <alignment vertical="center"/>
    </xf>
    <xf numFmtId="0" fontId="45" fillId="13" borderId="37" xfId="0" applyFont="1" applyFill="1" applyBorder="1" applyAlignment="1">
      <alignment vertical="center"/>
    </xf>
    <xf numFmtId="164" fontId="45" fillId="13" borderId="18" xfId="0" applyNumberFormat="1" applyFont="1" applyFill="1" applyBorder="1" applyAlignment="1">
      <alignment vertical="center"/>
    </xf>
    <xf numFmtId="0" fontId="45" fillId="13" borderId="19" xfId="0" applyFont="1" applyFill="1" applyBorder="1" applyAlignment="1">
      <alignment vertical="center"/>
    </xf>
    <xf numFmtId="0" fontId="28" fillId="14" borderId="35" xfId="0" applyFont="1" applyFill="1" applyBorder="1" applyAlignment="1">
      <alignment vertical="center"/>
    </xf>
    <xf numFmtId="0" fontId="27" fillId="14" borderId="34" xfId="0" applyFont="1" applyFill="1" applyBorder="1" applyAlignment="1">
      <alignment vertical="center"/>
    </xf>
    <xf numFmtId="164" fontId="27" fillId="14" borderId="12" xfId="0" applyNumberFormat="1" applyFont="1" applyFill="1" applyBorder="1" applyAlignment="1">
      <alignment vertical="center"/>
    </xf>
    <xf numFmtId="0" fontId="27" fillId="14" borderId="2" xfId="0" applyFont="1" applyFill="1" applyBorder="1" applyAlignment="1">
      <alignment vertical="center"/>
    </xf>
    <xf numFmtId="0" fontId="26" fillId="15" borderId="35" xfId="0" applyFont="1" applyFill="1" applyBorder="1" applyAlignment="1">
      <alignment vertical="center"/>
    </xf>
    <xf numFmtId="0" fontId="25" fillId="15" borderId="34" xfId="0" applyFont="1" applyFill="1" applyBorder="1" applyAlignment="1">
      <alignment vertical="center"/>
    </xf>
    <xf numFmtId="164" fontId="25" fillId="15" borderId="12" xfId="0" applyNumberFormat="1" applyFont="1" applyFill="1" applyBorder="1" applyAlignment="1">
      <alignment vertical="center"/>
    </xf>
    <xf numFmtId="0" fontId="25" fillId="15" borderId="2" xfId="0" applyFont="1" applyFill="1" applyBorder="1" applyAlignment="1">
      <alignment vertical="center"/>
    </xf>
    <xf numFmtId="0" fontId="28" fillId="16" borderId="35" xfId="0" applyFont="1" applyFill="1" applyBorder="1" applyAlignment="1">
      <alignment vertical="center"/>
    </xf>
    <xf numFmtId="0" fontId="27" fillId="16" borderId="34" xfId="0" applyFont="1" applyFill="1" applyBorder="1" applyAlignment="1">
      <alignment vertical="center"/>
    </xf>
    <xf numFmtId="164" fontId="27" fillId="16" borderId="12" xfId="0" applyNumberFormat="1" applyFont="1" applyFill="1" applyBorder="1" applyAlignment="1">
      <alignment vertical="center"/>
    </xf>
    <xf numFmtId="0" fontId="27" fillId="16" borderId="2" xfId="0" applyFont="1" applyFill="1" applyBorder="1" applyAlignment="1">
      <alignment vertical="center"/>
    </xf>
    <xf numFmtId="0" fontId="26" fillId="17" borderId="38" xfId="0" applyFont="1" applyFill="1" applyBorder="1" applyAlignment="1">
      <alignment vertical="center"/>
    </xf>
    <xf numFmtId="0" fontId="26" fillId="17" borderId="39" xfId="0" applyFont="1" applyFill="1" applyBorder="1" applyAlignment="1">
      <alignment vertical="center"/>
    </xf>
    <xf numFmtId="164" fontId="26" fillId="17" borderId="13" xfId="0" applyNumberFormat="1" applyFont="1" applyFill="1" applyBorder="1" applyAlignment="1">
      <alignment vertical="center"/>
    </xf>
    <xf numFmtId="0" fontId="26" fillId="17" borderId="1" xfId="0" applyFont="1" applyFill="1" applyBorder="1" applyAlignment="1">
      <alignment vertical="center"/>
    </xf>
    <xf numFmtId="0" fontId="26" fillId="18" borderId="35" xfId="0" applyFont="1" applyFill="1" applyBorder="1" applyAlignment="1">
      <alignment vertical="center"/>
    </xf>
    <xf numFmtId="0" fontId="26" fillId="18" borderId="34" xfId="0" applyFont="1" applyFill="1" applyBorder="1" applyAlignment="1">
      <alignment vertical="center"/>
    </xf>
    <xf numFmtId="164" fontId="26" fillId="18" borderId="12" xfId="0" applyNumberFormat="1" applyFont="1" applyFill="1" applyBorder="1" applyAlignment="1">
      <alignment vertical="center"/>
    </xf>
    <xf numFmtId="0" fontId="26" fillId="18" borderId="2" xfId="0" applyFont="1" applyFill="1" applyBorder="1" applyAlignment="1">
      <alignment vertical="center"/>
    </xf>
    <xf numFmtId="0" fontId="26" fillId="19" borderId="35" xfId="0" applyFont="1" applyFill="1" applyBorder="1" applyAlignment="1">
      <alignment vertical="center"/>
    </xf>
    <xf numFmtId="0" fontId="26" fillId="19" borderId="34" xfId="0" applyFont="1" applyFill="1" applyBorder="1" applyAlignment="1">
      <alignment vertical="center"/>
    </xf>
    <xf numFmtId="164" fontId="26" fillId="19" borderId="12" xfId="0" applyNumberFormat="1" applyFont="1" applyFill="1" applyBorder="1" applyAlignment="1">
      <alignment vertical="center"/>
    </xf>
    <xf numFmtId="0" fontId="26" fillId="19" borderId="2" xfId="0" applyFont="1" applyFill="1" applyBorder="1" applyAlignment="1">
      <alignment vertical="center"/>
    </xf>
    <xf numFmtId="0" fontId="2" fillId="0" borderId="0" xfId="0" applyFont="1" applyAlignment="1">
      <alignment vertical="top"/>
    </xf>
    <xf numFmtId="0" fontId="3" fillId="0" borderId="0" xfId="0" applyFont="1" applyAlignment="1">
      <alignment horizontal="center" vertical="top"/>
    </xf>
    <xf numFmtId="0" fontId="3" fillId="0" borderId="0" xfId="0" applyFont="1" applyAlignment="1">
      <alignment vertical="top" wrapText="1"/>
    </xf>
    <xf numFmtId="0" fontId="3" fillId="0" borderId="3" xfId="0" applyFont="1" applyBorder="1" applyAlignment="1">
      <alignment vertical="top"/>
    </xf>
    <xf numFmtId="0" fontId="3" fillId="0" borderId="4" xfId="0" applyFont="1" applyBorder="1" applyAlignment="1">
      <alignment vertical="top"/>
    </xf>
    <xf numFmtId="0" fontId="3" fillId="0" borderId="5" xfId="0" applyFont="1" applyBorder="1" applyAlignment="1">
      <alignment vertical="top"/>
    </xf>
    <xf numFmtId="0" fontId="3" fillId="0" borderId="7" xfId="0" applyFont="1" applyBorder="1" applyAlignment="1">
      <alignment vertical="top"/>
    </xf>
    <xf numFmtId="0" fontId="3" fillId="0" borderId="6" xfId="0" applyFont="1" applyBorder="1" applyAlignment="1">
      <alignment vertical="top"/>
    </xf>
    <xf numFmtId="0" fontId="3" fillId="0" borderId="12" xfId="0" applyFont="1" applyFill="1" applyBorder="1" applyAlignment="1">
      <alignment horizontal="center" vertical="center"/>
    </xf>
    <xf numFmtId="164" fontId="3" fillId="0" borderId="12" xfId="0" applyNumberFormat="1" applyFont="1" applyFill="1" applyBorder="1" applyAlignment="1">
      <alignment horizontal="center" vertical="center"/>
    </xf>
    <xf numFmtId="0" fontId="3" fillId="0" borderId="0" xfId="0" applyFont="1" applyFill="1" applyBorder="1" applyAlignment="1">
      <alignment horizontal="center" vertical="center"/>
    </xf>
    <xf numFmtId="164" fontId="3" fillId="0" borderId="0" xfId="0" applyNumberFormat="1" applyFont="1" applyBorder="1" applyAlignment="1">
      <alignment vertical="top"/>
    </xf>
    <xf numFmtId="0" fontId="3" fillId="0" borderId="8" xfId="0" applyFont="1" applyBorder="1" applyAlignment="1">
      <alignment vertical="top"/>
    </xf>
    <xf numFmtId="0" fontId="3" fillId="0" borderId="10" xfId="0" applyFont="1" applyBorder="1" applyAlignment="1">
      <alignment vertical="top"/>
    </xf>
    <xf numFmtId="0" fontId="3" fillId="0" borderId="9" xfId="0" applyFont="1" applyBorder="1" applyAlignment="1">
      <alignment vertical="top"/>
    </xf>
    <xf numFmtId="168" fontId="27" fillId="5" borderId="12" xfId="0" quotePrefix="1" applyNumberFormat="1" applyFont="1" applyFill="1" applyBorder="1" applyAlignment="1">
      <alignment horizontal="center" vertical="center"/>
    </xf>
    <xf numFmtId="168" fontId="27" fillId="5" borderId="12" xfId="0" applyNumberFormat="1" applyFont="1" applyFill="1" applyBorder="1" applyAlignment="1">
      <alignment horizontal="center" vertical="center"/>
    </xf>
    <xf numFmtId="0" fontId="2" fillId="0" borderId="15" xfId="0" applyFont="1" applyBorder="1" applyAlignment="1">
      <alignment vertical="center"/>
    </xf>
    <xf numFmtId="0" fontId="2" fillId="0" borderId="12" xfId="0" applyFont="1" applyBorder="1" applyAlignment="1">
      <alignment vertical="center"/>
    </xf>
    <xf numFmtId="0" fontId="5" fillId="12" borderId="0" xfId="0" applyFont="1" applyFill="1" applyAlignment="1">
      <alignment horizontal="right" vertical="center"/>
    </xf>
    <xf numFmtId="0" fontId="2" fillId="12" borderId="0" xfId="0" applyFont="1" applyFill="1" applyAlignment="1">
      <alignment horizontal="right" vertical="center"/>
    </xf>
    <xf numFmtId="0" fontId="2" fillId="0" borderId="0" xfId="0" applyFont="1" applyAlignment="1">
      <alignment horizontal="center" vertical="center"/>
    </xf>
    <xf numFmtId="0" fontId="3" fillId="23" borderId="30" xfId="0" applyFont="1" applyFill="1" applyBorder="1" applyAlignment="1">
      <alignment horizontal="center" wrapText="1"/>
    </xf>
    <xf numFmtId="0" fontId="3" fillId="0" borderId="32" xfId="0" applyFont="1" applyBorder="1" applyAlignment="1">
      <alignment horizontal="center" wrapText="1"/>
    </xf>
    <xf numFmtId="0" fontId="3" fillId="0" borderId="0" xfId="0" applyFont="1" applyBorder="1" applyAlignment="1">
      <alignment horizontal="center" wrapText="1"/>
    </xf>
    <xf numFmtId="0" fontId="3" fillId="0" borderId="33" xfId="0" applyFont="1" applyBorder="1" applyAlignment="1">
      <alignment horizontal="center" wrapText="1"/>
    </xf>
    <xf numFmtId="0" fontId="3" fillId="21" borderId="32" xfId="0" applyFont="1" applyFill="1" applyBorder="1" applyAlignment="1">
      <alignment horizontal="center" wrapText="1"/>
    </xf>
    <xf numFmtId="0" fontId="3" fillId="0" borderId="0" xfId="0" applyFont="1" applyFill="1" applyBorder="1" applyAlignment="1">
      <alignment horizontal="center" wrapText="1"/>
    </xf>
    <xf numFmtId="0" fontId="3" fillId="23" borderId="33" xfId="0" applyFont="1" applyFill="1" applyBorder="1" applyAlignment="1">
      <alignment horizontal="center" wrapText="1"/>
    </xf>
    <xf numFmtId="0" fontId="3" fillId="21" borderId="28" xfId="0" applyFont="1" applyFill="1" applyBorder="1" applyAlignment="1">
      <alignment horizontal="center" wrapText="1"/>
    </xf>
    <xf numFmtId="0" fontId="3" fillId="0" borderId="40" xfId="0" quotePrefix="1" applyFont="1" applyFill="1" applyBorder="1" applyAlignment="1">
      <alignment horizontal="center" wrapText="1"/>
    </xf>
    <xf numFmtId="0" fontId="3" fillId="23" borderId="29" xfId="0" applyFont="1" applyFill="1" applyBorder="1" applyAlignment="1">
      <alignment horizontal="center" wrapText="1"/>
    </xf>
    <xf numFmtId="0" fontId="0" fillId="24" borderId="14" xfId="0" applyFill="1" applyBorder="1" applyAlignment="1">
      <alignment horizontal="center" wrapText="1"/>
    </xf>
    <xf numFmtId="0" fontId="0" fillId="0" borderId="45" xfId="0" applyBorder="1" applyAlignment="1">
      <alignment horizontal="center" wrapText="1"/>
    </xf>
    <xf numFmtId="0" fontId="0" fillId="24" borderId="45" xfId="0" quotePrefix="1" applyFill="1" applyBorder="1" applyAlignment="1">
      <alignment horizontal="center" wrapText="1"/>
    </xf>
    <xf numFmtId="0" fontId="0" fillId="24" borderId="45" xfId="0" applyFill="1" applyBorder="1" applyAlignment="1">
      <alignment horizontal="center" wrapText="1"/>
    </xf>
    <xf numFmtId="0" fontId="0" fillId="24" borderId="41" xfId="0" applyFill="1" applyBorder="1" applyAlignment="1">
      <alignment horizontal="center" wrapText="1"/>
    </xf>
    <xf numFmtId="0" fontId="0" fillId="22" borderId="14" xfId="0" applyFill="1" applyBorder="1" applyAlignment="1">
      <alignment horizontal="center" wrapText="1"/>
    </xf>
    <xf numFmtId="0" fontId="0" fillId="22" borderId="45" xfId="0" applyFill="1" applyBorder="1" applyAlignment="1">
      <alignment horizontal="center" wrapText="1"/>
    </xf>
    <xf numFmtId="0" fontId="0" fillId="22" borderId="41" xfId="0" applyFill="1" applyBorder="1" applyAlignment="1">
      <alignment horizontal="center" wrapText="1"/>
    </xf>
    <xf numFmtId="168" fontId="5" fillId="0" borderId="0" xfId="0" applyNumberFormat="1" applyFont="1" applyAlignment="1">
      <alignment horizontal="center" vertical="center"/>
    </xf>
    <xf numFmtId="168" fontId="32" fillId="0" borderId="12" xfId="0" quotePrefix="1" applyNumberFormat="1" applyFont="1" applyFill="1" applyBorder="1" applyAlignment="1">
      <alignment horizontal="center" vertical="center"/>
    </xf>
    <xf numFmtId="0" fontId="2" fillId="0" borderId="27" xfId="0" applyFont="1" applyBorder="1" applyAlignment="1">
      <alignment horizontal="center" wrapText="1"/>
    </xf>
    <xf numFmtId="0" fontId="2" fillId="0" borderId="32" xfId="0" applyFont="1" applyBorder="1" applyAlignment="1">
      <alignment horizontal="center" wrapText="1"/>
    </xf>
    <xf numFmtId="0" fontId="0" fillId="0" borderId="28" xfId="0" applyBorder="1" applyAlignment="1">
      <alignment horizontal="center" wrapText="1"/>
    </xf>
    <xf numFmtId="0" fontId="0" fillId="25" borderId="30" xfId="0" applyFill="1" applyBorder="1" applyAlignment="1">
      <alignment horizontal="center" wrapText="1"/>
    </xf>
    <xf numFmtId="0" fontId="2" fillId="25" borderId="33" xfId="0" quotePrefix="1" applyFont="1" applyFill="1" applyBorder="1" applyAlignment="1">
      <alignment horizontal="center" wrapText="1"/>
    </xf>
    <xf numFmtId="0" fontId="0" fillId="25" borderId="29" xfId="0" applyFill="1" applyBorder="1" applyAlignment="1">
      <alignment horizontal="center" wrapText="1"/>
    </xf>
    <xf numFmtId="0" fontId="48" fillId="0" borderId="0" xfId="0" applyFont="1" applyAlignment="1"/>
    <xf numFmtId="0" fontId="49" fillId="0" borderId="0" xfId="0" applyFont="1" applyAlignment="1"/>
    <xf numFmtId="0" fontId="50" fillId="0" borderId="7" xfId="0" applyFont="1" applyBorder="1" applyAlignment="1">
      <alignment vertical="top" wrapText="1"/>
    </xf>
    <xf numFmtId="1" fontId="39" fillId="27" borderId="20" xfId="0" applyNumberFormat="1" applyFont="1" applyFill="1" applyBorder="1" applyAlignment="1">
      <alignment horizontal="center" vertical="center"/>
    </xf>
    <xf numFmtId="0" fontId="51" fillId="0" borderId="0" xfId="0" applyFont="1" applyFill="1" applyAlignment="1">
      <alignment vertical="top"/>
    </xf>
    <xf numFmtId="0" fontId="51" fillId="0" borderId="0" xfId="0" applyFont="1" applyFill="1" applyAlignment="1">
      <alignment horizontal="center" vertical="top"/>
    </xf>
    <xf numFmtId="0" fontId="2" fillId="0" borderId="0" xfId="0" applyFont="1" applyAlignment="1">
      <alignment horizontal="center" vertical="top"/>
    </xf>
    <xf numFmtId="0" fontId="2" fillId="0" borderId="45" xfId="0" applyFont="1" applyBorder="1" applyAlignment="1">
      <alignment horizontal="center" wrapText="1"/>
    </xf>
    <xf numFmtId="0" fontId="2" fillId="0" borderId="33" xfId="0" applyFont="1" applyBorder="1" applyAlignment="1">
      <alignment horizontal="center" wrapText="1"/>
    </xf>
    <xf numFmtId="0" fontId="3" fillId="0" borderId="0" xfId="0" applyFont="1" applyBorder="1" applyAlignment="1"/>
    <xf numFmtId="0" fontId="27" fillId="5" borderId="13" xfId="0" quotePrefix="1" applyFont="1" applyFill="1" applyBorder="1" applyAlignment="1">
      <alignment horizontal="center" vertical="center"/>
    </xf>
    <xf numFmtId="164" fontId="42" fillId="10" borderId="12" xfId="0" applyNumberFormat="1" applyFont="1" applyFill="1" applyBorder="1" applyAlignment="1">
      <alignment horizontal="center" vertical="center"/>
    </xf>
    <xf numFmtId="9" fontId="27" fillId="5" borderId="12" xfId="3" applyFont="1" applyFill="1" applyBorder="1" applyAlignment="1">
      <alignment horizontal="center" vertical="center"/>
    </xf>
    <xf numFmtId="9" fontId="25" fillId="0" borderId="0" xfId="3" applyFont="1" applyBorder="1" applyAlignment="1">
      <alignment horizontal="center" vertical="center"/>
    </xf>
    <xf numFmtId="9" fontId="26" fillId="0" borderId="12" xfId="3" applyFont="1" applyBorder="1" applyAlignment="1">
      <alignment horizontal="center" vertical="center"/>
    </xf>
    <xf numFmtId="0" fontId="26" fillId="0" borderId="20" xfId="0" applyFont="1" applyBorder="1" applyAlignment="1">
      <alignment horizontal="right" vertical="top" wrapText="1"/>
    </xf>
    <xf numFmtId="0" fontId="41" fillId="8" borderId="5" xfId="0" applyFont="1" applyFill="1" applyBorder="1" applyAlignment="1">
      <alignment horizontal="center" vertical="center"/>
    </xf>
    <xf numFmtId="0" fontId="41" fillId="8" borderId="26" xfId="0" applyFont="1" applyFill="1" applyBorder="1" applyAlignment="1">
      <alignment horizontal="center" vertical="center"/>
    </xf>
    <xf numFmtId="1" fontId="39" fillId="11" borderId="48" xfId="0" applyNumberFormat="1" applyFont="1" applyFill="1" applyBorder="1" applyAlignment="1">
      <alignment horizontal="center" vertical="center"/>
    </xf>
    <xf numFmtId="1" fontId="39" fillId="11" borderId="26" xfId="0" applyNumberFormat="1" applyFont="1" applyFill="1" applyBorder="1" applyAlignment="1">
      <alignment horizontal="center" vertical="center"/>
    </xf>
    <xf numFmtId="0" fontId="3" fillId="23" borderId="46" xfId="0" applyFont="1" applyFill="1" applyBorder="1" applyAlignment="1">
      <alignment horizontal="left" vertical="center"/>
    </xf>
    <xf numFmtId="0" fontId="3" fillId="23" borderId="47" xfId="0" applyFont="1" applyFill="1" applyBorder="1" applyAlignment="1">
      <alignment horizontal="left" vertical="center"/>
    </xf>
    <xf numFmtId="0" fontId="3" fillId="28" borderId="46" xfId="0" applyFont="1" applyFill="1" applyBorder="1" applyAlignment="1">
      <alignment horizontal="left" vertical="center"/>
    </xf>
    <xf numFmtId="0" fontId="3" fillId="28" borderId="47" xfId="0" applyFont="1" applyFill="1" applyBorder="1" applyAlignment="1">
      <alignment horizontal="left" vertical="center"/>
    </xf>
    <xf numFmtId="0" fontId="51" fillId="0" borderId="48" xfId="0" applyFont="1" applyFill="1" applyBorder="1" applyAlignment="1">
      <alignment horizontal="center" vertical="center"/>
    </xf>
    <xf numFmtId="0" fontId="51" fillId="0" borderId="26" xfId="0" applyFont="1" applyFill="1" applyBorder="1" applyAlignment="1">
      <alignment horizontal="center" vertical="center"/>
    </xf>
    <xf numFmtId="0" fontId="3" fillId="23" borderId="49" xfId="0" applyFont="1" applyFill="1" applyBorder="1" applyAlignment="1">
      <alignment horizontal="left" vertical="center"/>
    </xf>
    <xf numFmtId="168" fontId="6" fillId="0" borderId="7" xfId="0" quotePrefix="1" applyNumberFormat="1" applyFont="1" applyBorder="1" applyAlignment="1">
      <alignment horizontal="left" vertical="top" wrapText="1"/>
    </xf>
    <xf numFmtId="0" fontId="41" fillId="30" borderId="0" xfId="0" applyFont="1" applyFill="1" applyBorder="1" applyAlignment="1">
      <alignment vertical="top"/>
    </xf>
    <xf numFmtId="168" fontId="54" fillId="30" borderId="0" xfId="0" applyNumberFormat="1" applyFont="1" applyFill="1" applyBorder="1" applyAlignment="1">
      <alignment horizontal="center" vertical="center"/>
    </xf>
    <xf numFmtId="0" fontId="3" fillId="29" borderId="25" xfId="0" applyFont="1" applyFill="1" applyBorder="1" applyAlignment="1">
      <alignment horizontal="left" vertical="center"/>
    </xf>
    <xf numFmtId="0" fontId="41" fillId="29" borderId="26" xfId="0" applyFont="1" applyFill="1" applyBorder="1" applyAlignment="1">
      <alignment horizontal="center" vertical="center"/>
    </xf>
    <xf numFmtId="0" fontId="55" fillId="5" borderId="12" xfId="0" applyFont="1" applyFill="1" applyBorder="1" applyAlignment="1">
      <alignment horizontal="center" vertical="center"/>
    </xf>
    <xf numFmtId="0" fontId="55" fillId="26" borderId="12" xfId="0" applyFont="1" applyFill="1" applyBorder="1" applyAlignment="1">
      <alignment horizontal="center" vertical="center"/>
    </xf>
    <xf numFmtId="0" fontId="45" fillId="5" borderId="12" xfId="0" applyFont="1" applyFill="1" applyBorder="1" applyAlignment="1">
      <alignment horizontal="center" vertical="center"/>
    </xf>
    <xf numFmtId="0" fontId="4" fillId="4" borderId="50" xfId="0" applyFont="1" applyFill="1" applyBorder="1" applyAlignment="1">
      <alignment horizontal="centerContinuous" vertical="center" wrapText="1"/>
    </xf>
    <xf numFmtId="164" fontId="5" fillId="9" borderId="12" xfId="0" applyNumberFormat="1" applyFont="1" applyFill="1" applyBorder="1" applyAlignment="1">
      <alignment horizontal="center" vertical="center"/>
    </xf>
    <xf numFmtId="164" fontId="2" fillId="9" borderId="18" xfId="0" applyNumberFormat="1" applyFont="1" applyFill="1" applyBorder="1" applyAlignment="1">
      <alignment horizontal="center" vertical="center"/>
    </xf>
    <xf numFmtId="0" fontId="4" fillId="4" borderId="43" xfId="0" applyFont="1" applyFill="1" applyBorder="1" applyAlignment="1">
      <alignment horizontal="centerContinuous" vertical="center" wrapText="1"/>
    </xf>
    <xf numFmtId="0" fontId="4" fillId="4" borderId="51" xfId="0" applyFont="1" applyFill="1" applyBorder="1" applyAlignment="1">
      <alignment horizontal="centerContinuous" vertical="center" wrapText="1"/>
    </xf>
    <xf numFmtId="0" fontId="4" fillId="4" borderId="41" xfId="0" applyFont="1" applyFill="1" applyBorder="1" applyAlignment="1">
      <alignment horizontal="center" vertical="center" wrapText="1"/>
    </xf>
    <xf numFmtId="0" fontId="4" fillId="4" borderId="52" xfId="0" applyFont="1" applyFill="1" applyBorder="1" applyAlignment="1">
      <alignment horizontal="centerContinuous" vertical="center" wrapText="1"/>
    </xf>
    <xf numFmtId="0" fontId="4" fillId="4" borderId="28" xfId="0" applyFont="1" applyFill="1" applyBorder="1" applyAlignment="1">
      <alignment horizontal="center" vertical="center" wrapText="1"/>
    </xf>
    <xf numFmtId="164" fontId="5" fillId="9" borderId="31" xfId="0" applyNumberFormat="1" applyFont="1" applyFill="1" applyBorder="1" applyAlignment="1">
      <alignment horizontal="center" vertical="center"/>
    </xf>
    <xf numFmtId="164" fontId="5" fillId="0" borderId="12" xfId="0" applyNumberFormat="1" applyFont="1" applyBorder="1" applyAlignment="1">
      <alignment horizontal="center" vertical="center"/>
    </xf>
    <xf numFmtId="164" fontId="5" fillId="0" borderId="20" xfId="0" applyNumberFormat="1" applyFont="1" applyBorder="1" applyAlignment="1">
      <alignment horizontal="center" vertical="center"/>
    </xf>
    <xf numFmtId="164" fontId="5" fillId="0" borderId="21" xfId="0" applyNumberFormat="1" applyFont="1" applyBorder="1" applyAlignment="1">
      <alignment horizontal="center" vertical="center"/>
    </xf>
    <xf numFmtId="164" fontId="5" fillId="0" borderId="18" xfId="0" applyNumberFormat="1" applyFont="1" applyBorder="1" applyAlignment="1">
      <alignment horizontal="center" vertical="center"/>
    </xf>
    <xf numFmtId="0" fontId="5" fillId="0" borderId="38" xfId="0" applyFont="1" applyBorder="1" applyAlignment="1">
      <alignment vertical="center" wrapText="1"/>
    </xf>
    <xf numFmtId="0" fontId="5" fillId="0" borderId="35" xfId="0" applyFont="1" applyBorder="1" applyAlignment="1">
      <alignment vertical="center" wrapText="1"/>
    </xf>
    <xf numFmtId="0" fontId="5" fillId="0" borderId="35" xfId="0" applyFont="1" applyFill="1" applyBorder="1" applyAlignment="1">
      <alignment vertical="center" wrapText="1"/>
    </xf>
    <xf numFmtId="0" fontId="5" fillId="0" borderId="36" xfId="0" applyFont="1" applyBorder="1" applyAlignment="1">
      <alignment vertical="center" wrapText="1"/>
    </xf>
    <xf numFmtId="0" fontId="5" fillId="9" borderId="15" xfId="0" applyFont="1" applyFill="1" applyBorder="1" applyAlignment="1">
      <alignment vertical="center"/>
    </xf>
    <xf numFmtId="0" fontId="5" fillId="9" borderId="17" xfId="0" applyFont="1" applyFill="1" applyBorder="1" applyAlignment="1">
      <alignment vertical="center"/>
    </xf>
    <xf numFmtId="164" fontId="5" fillId="9" borderId="53" xfId="0" applyNumberFormat="1" applyFont="1" applyFill="1" applyBorder="1" applyAlignment="1">
      <alignment horizontal="center" vertical="center"/>
    </xf>
    <xf numFmtId="0" fontId="3" fillId="0" borderId="12" xfId="0" applyFont="1" applyBorder="1" applyAlignment="1">
      <alignment horizontal="center" vertical="center"/>
    </xf>
    <xf numFmtId="9" fontId="3" fillId="0" borderId="12" xfId="0" applyNumberFormat="1" applyFont="1" applyBorder="1" applyAlignment="1">
      <alignment horizontal="center" vertical="center"/>
    </xf>
    <xf numFmtId="0" fontId="26" fillId="0" borderId="31" xfId="0" applyFont="1" applyBorder="1" applyAlignment="1">
      <alignment horizontal="center" vertical="center"/>
    </xf>
    <xf numFmtId="0" fontId="26" fillId="0" borderId="34" xfId="0" applyFont="1" applyBorder="1" applyAlignment="1">
      <alignment horizontal="center" vertical="center"/>
    </xf>
    <xf numFmtId="0" fontId="26" fillId="0" borderId="20" xfId="0" applyFont="1" applyBorder="1" applyAlignment="1">
      <alignment horizontal="center" vertical="center"/>
    </xf>
    <xf numFmtId="0" fontId="2" fillId="0" borderId="0" xfId="0" applyFont="1" applyAlignment="1">
      <alignment vertical="center"/>
    </xf>
    <xf numFmtId="169" fontId="3" fillId="0" borderId="12" xfId="0" applyNumberFormat="1" applyFont="1" applyBorder="1" applyAlignment="1">
      <alignment horizontal="center" vertical="center"/>
    </xf>
    <xf numFmtId="9" fontId="2" fillId="0" borderId="12" xfId="0" applyNumberFormat="1" applyFont="1" applyBorder="1" applyAlignment="1">
      <alignment horizontal="center" vertical="center"/>
    </xf>
    <xf numFmtId="0" fontId="26" fillId="0" borderId="20" xfId="0" applyFont="1" applyFill="1" applyBorder="1" applyAlignment="1">
      <alignment horizontal="center" vertical="center" wrapText="1"/>
    </xf>
    <xf numFmtId="0" fontId="27" fillId="0" borderId="12" xfId="0" quotePrefix="1" applyFont="1" applyFill="1" applyBorder="1" applyAlignment="1">
      <alignment horizontal="center" vertical="center" wrapText="1"/>
    </xf>
    <xf numFmtId="0" fontId="26" fillId="0" borderId="0" xfId="0" applyFont="1" applyAlignment="1">
      <alignment horizontal="center" vertical="center" wrapText="1"/>
    </xf>
    <xf numFmtId="0" fontId="15" fillId="0" borderId="0" xfId="0" applyFont="1" applyFill="1" applyAlignment="1">
      <alignment vertical="center" wrapText="1"/>
    </xf>
    <xf numFmtId="0" fontId="0" fillId="0" borderId="0" xfId="0" applyAlignment="1">
      <alignment wrapText="1"/>
    </xf>
    <xf numFmtId="0" fontId="26" fillId="0" borderId="20" xfId="0" applyFont="1" applyBorder="1" applyAlignment="1">
      <alignment horizontal="center" vertical="center"/>
    </xf>
    <xf numFmtId="0" fontId="26" fillId="0" borderId="20" xfId="0" applyFont="1" applyFill="1" applyBorder="1" applyAlignment="1">
      <alignment horizontal="center" vertical="center" wrapText="1"/>
    </xf>
    <xf numFmtId="0" fontId="26" fillId="0" borderId="17" xfId="0" applyFont="1" applyFill="1" applyBorder="1"/>
    <xf numFmtId="0" fontId="0" fillId="0" borderId="18" xfId="0" applyBorder="1"/>
    <xf numFmtId="0" fontId="6" fillId="0" borderId="19" xfId="0" applyFont="1" applyBorder="1"/>
    <xf numFmtId="0" fontId="6" fillId="0" borderId="22" xfId="0" applyFont="1" applyBorder="1" applyAlignment="1">
      <alignment horizontal="center"/>
    </xf>
    <xf numFmtId="0" fontId="6" fillId="0" borderId="24" xfId="0" applyFont="1" applyBorder="1" applyAlignment="1">
      <alignment horizontal="center"/>
    </xf>
    <xf numFmtId="0" fontId="33" fillId="0" borderId="2" xfId="0" applyFont="1" applyBorder="1" applyAlignment="1">
      <alignment vertical="top" wrapText="1"/>
    </xf>
    <xf numFmtId="0" fontId="3" fillId="0" borderId="44" xfId="0" applyFont="1" applyBorder="1" applyAlignment="1">
      <alignment horizontal="center"/>
    </xf>
    <xf numFmtId="0" fontId="3" fillId="23" borderId="27" xfId="0" applyFont="1" applyFill="1" applyBorder="1" applyAlignment="1">
      <alignment horizontal="center" wrapText="1"/>
    </xf>
    <xf numFmtId="0" fontId="5" fillId="31" borderId="0" xfId="0" applyFont="1" applyFill="1" applyAlignment="1">
      <alignment horizontal="center" vertical="center"/>
    </xf>
    <xf numFmtId="0" fontId="47" fillId="31" borderId="0" xfId="0" applyFont="1" applyFill="1" applyAlignment="1">
      <alignment horizontal="center"/>
    </xf>
    <xf numFmtId="0" fontId="47" fillId="31" borderId="0" xfId="0" applyFont="1" applyFill="1" applyAlignment="1">
      <alignment horizontal="center" vertical="center"/>
    </xf>
    <xf numFmtId="164" fontId="44" fillId="0" borderId="0" xfId="0" applyNumberFormat="1" applyFont="1" applyAlignment="1">
      <alignment horizontal="left" vertical="top"/>
    </xf>
    <xf numFmtId="0" fontId="33" fillId="0" borderId="2" xfId="0" applyFont="1" applyBorder="1" applyAlignment="1">
      <alignment horizontal="center" vertical="top"/>
    </xf>
    <xf numFmtId="164" fontId="3" fillId="0" borderId="0" xfId="0" applyNumberFormat="1" applyFont="1" applyAlignment="1">
      <alignment vertical="top"/>
    </xf>
    <xf numFmtId="168" fontId="3" fillId="0" borderId="0" xfId="0" applyNumberFormat="1" applyFont="1" applyAlignment="1">
      <alignment vertical="top"/>
    </xf>
    <xf numFmtId="170" fontId="3" fillId="0" borderId="0" xfId="0" applyNumberFormat="1" applyFont="1" applyAlignment="1">
      <alignment vertical="top"/>
    </xf>
    <xf numFmtId="0" fontId="56" fillId="12" borderId="0" xfId="0" applyFont="1" applyFill="1"/>
    <xf numFmtId="164" fontId="56" fillId="12" borderId="0" xfId="0" applyNumberFormat="1" applyFont="1" applyFill="1"/>
    <xf numFmtId="0" fontId="26" fillId="0" borderId="25" xfId="0" applyFont="1" applyBorder="1" applyAlignment="1">
      <alignment vertical="center"/>
    </xf>
    <xf numFmtId="0" fontId="26" fillId="0" borderId="42" xfId="0" applyFont="1" applyBorder="1" applyAlignment="1">
      <alignment vertical="center"/>
    </xf>
    <xf numFmtId="0" fontId="0" fillId="0" borderId="26" xfId="0" applyBorder="1"/>
    <xf numFmtId="164" fontId="26" fillId="0" borderId="25" xfId="0" applyNumberFormat="1" applyFont="1" applyBorder="1" applyAlignment="1">
      <alignment horizontal="center" vertical="center"/>
    </xf>
    <xf numFmtId="0" fontId="26" fillId="0" borderId="46" xfId="0" applyFont="1" applyBorder="1" applyAlignment="1">
      <alignment horizontal="center" vertical="center"/>
    </xf>
    <xf numFmtId="0" fontId="2" fillId="0" borderId="46" xfId="0" applyFont="1" applyBorder="1" applyAlignment="1">
      <alignment horizontal="center"/>
    </xf>
    <xf numFmtId="1" fontId="55" fillId="26" borderId="12" xfId="0" applyNumberFormat="1" applyFont="1" applyFill="1" applyBorder="1" applyAlignment="1">
      <alignment horizontal="center" vertical="center"/>
    </xf>
    <xf numFmtId="1" fontId="55" fillId="12" borderId="12" xfId="0" applyNumberFormat="1" applyFont="1" applyFill="1" applyBorder="1" applyAlignment="1">
      <alignment horizontal="center" vertical="center"/>
    </xf>
    <xf numFmtId="0" fontId="2" fillId="0" borderId="0" xfId="0" applyFont="1" applyBorder="1"/>
    <xf numFmtId="0" fontId="2" fillId="0" borderId="0" xfId="0" applyFont="1"/>
    <xf numFmtId="0" fontId="0" fillId="0" borderId="14" xfId="0" applyBorder="1" applyAlignment="1">
      <alignment horizontal="center" wrapText="1"/>
    </xf>
    <xf numFmtId="0" fontId="2" fillId="0" borderId="14" xfId="0" applyFont="1" applyBorder="1" applyAlignment="1">
      <alignment horizontal="center" wrapText="1"/>
    </xf>
    <xf numFmtId="0" fontId="2" fillId="31" borderId="16" xfId="0" applyFont="1" applyFill="1" applyBorder="1" applyAlignment="1">
      <alignment horizontal="center"/>
    </xf>
    <xf numFmtId="0" fontId="2" fillId="31" borderId="13" xfId="0" applyFont="1" applyFill="1" applyBorder="1" applyAlignment="1">
      <alignment horizontal="center"/>
    </xf>
    <xf numFmtId="0" fontId="0" fillId="31" borderId="13" xfId="0" applyFill="1" applyBorder="1" applyAlignment="1">
      <alignment horizontal="center"/>
    </xf>
    <xf numFmtId="164" fontId="1" fillId="31" borderId="13" xfId="3" applyNumberFormat="1" applyFont="1" applyFill="1" applyBorder="1" applyAlignment="1">
      <alignment horizontal="center"/>
    </xf>
    <xf numFmtId="2" fontId="2" fillId="31" borderId="1" xfId="3" applyNumberFormat="1" applyFont="1" applyFill="1" applyBorder="1" applyAlignment="1">
      <alignment horizontal="center"/>
    </xf>
    <xf numFmtId="0" fontId="55" fillId="8" borderId="12" xfId="0" applyFont="1" applyFill="1" applyBorder="1" applyAlignment="1">
      <alignment horizontal="center" vertical="center"/>
    </xf>
    <xf numFmtId="1" fontId="55" fillId="8" borderId="12" xfId="0" applyNumberFormat="1" applyFont="1" applyFill="1" applyBorder="1" applyAlignment="1">
      <alignment horizontal="center" vertical="center"/>
    </xf>
    <xf numFmtId="0" fontId="2" fillId="32" borderId="16" xfId="0" applyFont="1" applyFill="1" applyBorder="1" applyAlignment="1">
      <alignment horizontal="center"/>
    </xf>
    <xf numFmtId="0" fontId="2" fillId="32" borderId="13" xfId="0" applyFont="1" applyFill="1" applyBorder="1" applyAlignment="1">
      <alignment horizontal="center"/>
    </xf>
    <xf numFmtId="0" fontId="0" fillId="32" borderId="13" xfId="0" applyFill="1" applyBorder="1" applyAlignment="1">
      <alignment horizontal="center"/>
    </xf>
    <xf numFmtId="164" fontId="1" fillId="32" borderId="13" xfId="3" applyNumberFormat="1" applyFont="1" applyFill="1" applyBorder="1" applyAlignment="1">
      <alignment horizontal="center"/>
    </xf>
    <xf numFmtId="2" fontId="2" fillId="32" borderId="1" xfId="3" applyNumberFormat="1" applyFont="1" applyFill="1" applyBorder="1" applyAlignment="1">
      <alignment horizontal="center"/>
    </xf>
    <xf numFmtId="164" fontId="5" fillId="20" borderId="12" xfId="0" applyNumberFormat="1" applyFont="1" applyFill="1" applyBorder="1" applyAlignment="1">
      <alignment horizontal="center" vertical="center"/>
    </xf>
    <xf numFmtId="164" fontId="2" fillId="20" borderId="18" xfId="0" applyNumberFormat="1" applyFont="1" applyFill="1" applyBorder="1" applyAlignment="1">
      <alignment horizontal="center" vertical="center"/>
    </xf>
    <xf numFmtId="164" fontId="5" fillId="20" borderId="20" xfId="0" applyNumberFormat="1" applyFont="1" applyFill="1" applyBorder="1" applyAlignment="1">
      <alignment horizontal="center" vertical="center"/>
    </xf>
    <xf numFmtId="164" fontId="5" fillId="20" borderId="21" xfId="0" applyNumberFormat="1" applyFont="1" applyFill="1" applyBorder="1" applyAlignment="1">
      <alignment horizontal="center" vertical="center"/>
    </xf>
    <xf numFmtId="164" fontId="2" fillId="9" borderId="12" xfId="0" applyNumberFormat="1" applyFont="1" applyFill="1" applyBorder="1" applyAlignment="1">
      <alignment horizontal="center" vertical="center"/>
    </xf>
    <xf numFmtId="1" fontId="32" fillId="0" borderId="12" xfId="0" quotePrefix="1" applyNumberFormat="1" applyFont="1" applyFill="1" applyBorder="1" applyAlignment="1">
      <alignment horizontal="center" vertical="center"/>
    </xf>
    <xf numFmtId="2" fontId="10" fillId="11" borderId="20" xfId="0" applyNumberFormat="1" applyFont="1" applyFill="1" applyBorder="1" applyAlignment="1">
      <alignment horizontal="center" vertical="center"/>
    </xf>
    <xf numFmtId="2" fontId="42" fillId="10" borderId="12" xfId="0" applyNumberFormat="1" applyFont="1" applyFill="1" applyBorder="1" applyAlignment="1">
      <alignment horizontal="center" vertical="center"/>
    </xf>
    <xf numFmtId="164" fontId="27" fillId="5" borderId="12" xfId="0" applyNumberFormat="1" applyFont="1" applyFill="1" applyBorder="1" applyAlignment="1">
      <alignment horizontal="center" vertical="center"/>
    </xf>
    <xf numFmtId="164" fontId="32" fillId="0" borderId="12" xfId="0" quotePrefix="1" applyNumberFormat="1" applyFont="1" applyFill="1" applyBorder="1" applyAlignment="1">
      <alignment horizontal="center" vertical="center"/>
    </xf>
    <xf numFmtId="0" fontId="0" fillId="0" borderId="0" xfId="0" applyAlignment="1">
      <alignment horizontal="center" vertical="top"/>
    </xf>
    <xf numFmtId="0" fontId="26" fillId="0" borderId="14" xfId="0" applyFont="1" applyBorder="1" applyAlignment="1">
      <alignment horizontal="left" vertical="center" wrapText="1"/>
    </xf>
    <xf numFmtId="0" fontId="26" fillId="0" borderId="45" xfId="0" applyFont="1" applyBorder="1" applyAlignment="1">
      <alignment horizontal="left" vertical="center" wrapText="1"/>
    </xf>
    <xf numFmtId="0" fontId="26" fillId="0" borderId="41" xfId="0" applyFont="1" applyBorder="1" applyAlignment="1">
      <alignment horizontal="left" vertical="center" wrapText="1"/>
    </xf>
    <xf numFmtId="0" fontId="26" fillId="0" borderId="27" xfId="0" applyFont="1" applyBorder="1" applyAlignment="1">
      <alignment vertical="center" wrapText="1"/>
    </xf>
    <xf numFmtId="0" fontId="26" fillId="0" borderId="32" xfId="0" applyFont="1" applyBorder="1" applyAlignment="1">
      <alignment vertical="center" wrapText="1"/>
    </xf>
    <xf numFmtId="0" fontId="26" fillId="0" borderId="28" xfId="0" applyFont="1" applyBorder="1" applyAlignment="1">
      <alignment vertical="center" wrapText="1"/>
    </xf>
    <xf numFmtId="0" fontId="26" fillId="0" borderId="12" xfId="0" applyFont="1" applyBorder="1" applyAlignment="1">
      <alignment horizontal="left" vertical="center"/>
    </xf>
    <xf numFmtId="0" fontId="2" fillId="0" borderId="12" xfId="0" applyFont="1" applyBorder="1" applyAlignment="1">
      <alignment horizontal="center" vertical="center"/>
    </xf>
    <xf numFmtId="0" fontId="26" fillId="0" borderId="12" xfId="0" applyFont="1" applyBorder="1" applyAlignment="1">
      <alignment vertical="center" wrapText="1"/>
    </xf>
    <xf numFmtId="0" fontId="26" fillId="0" borderId="12" xfId="0" applyFont="1" applyBorder="1" applyAlignment="1">
      <alignment horizontal="left" vertical="center" wrapText="1"/>
    </xf>
    <xf numFmtId="0" fontId="31" fillId="0" borderId="14" xfId="0" applyFont="1" applyBorder="1" applyAlignment="1">
      <alignment horizontal="left" vertical="center"/>
    </xf>
    <xf numFmtId="0" fontId="31" fillId="0" borderId="45" xfId="0" applyFont="1" applyBorder="1" applyAlignment="1">
      <alignment horizontal="left" vertical="center"/>
    </xf>
    <xf numFmtId="0" fontId="31" fillId="0" borderId="41" xfId="0" applyFont="1" applyBorder="1" applyAlignment="1">
      <alignment horizontal="left" vertical="center"/>
    </xf>
    <xf numFmtId="0" fontId="26" fillId="0" borderId="14" xfId="0" applyFont="1" applyBorder="1" applyAlignment="1">
      <alignment horizontal="left" vertical="center"/>
    </xf>
    <xf numFmtId="0" fontId="26" fillId="0" borderId="45" xfId="0" applyFont="1" applyBorder="1" applyAlignment="1">
      <alignment horizontal="left" vertical="center"/>
    </xf>
    <xf numFmtId="0" fontId="26" fillId="0" borderId="41" xfId="0" applyFont="1" applyBorder="1" applyAlignment="1">
      <alignment horizontal="left" vertical="center"/>
    </xf>
    <xf numFmtId="0" fontId="31" fillId="0" borderId="12" xfId="0" applyFont="1" applyBorder="1" applyAlignment="1">
      <alignment vertical="center" wrapText="1"/>
    </xf>
    <xf numFmtId="0" fontId="26" fillId="0" borderId="14" xfId="0" applyFont="1" applyBorder="1" applyAlignment="1">
      <alignment vertical="center"/>
    </xf>
    <xf numFmtId="0" fontId="26" fillId="0" borderId="45" xfId="0" applyFont="1" applyBorder="1" applyAlignment="1">
      <alignment vertical="center"/>
    </xf>
    <xf numFmtId="0" fontId="26" fillId="0" borderId="41" xfId="0" applyFont="1" applyBorder="1" applyAlignment="1">
      <alignment vertical="center"/>
    </xf>
    <xf numFmtId="0" fontId="5" fillId="20" borderId="31" xfId="0" applyFont="1" applyFill="1" applyBorder="1" applyAlignment="1">
      <alignment vertical="center"/>
    </xf>
    <xf numFmtId="0" fontId="0" fillId="20" borderId="34" xfId="0" applyFill="1" applyBorder="1" applyAlignment="1">
      <alignment vertical="center"/>
    </xf>
    <xf numFmtId="0" fontId="0" fillId="20" borderId="20" xfId="0" applyFill="1" applyBorder="1" applyAlignment="1">
      <alignment vertical="center"/>
    </xf>
    <xf numFmtId="0" fontId="4" fillId="4" borderId="40" xfId="0" applyFont="1" applyFill="1" applyBorder="1" applyAlignment="1">
      <alignment horizontal="center" vertical="center"/>
    </xf>
    <xf numFmtId="0" fontId="26" fillId="0" borderId="31" xfId="0" applyFont="1" applyBorder="1" applyAlignment="1">
      <alignment horizontal="center" vertical="center"/>
    </xf>
    <xf numFmtId="0" fontId="26" fillId="0" borderId="34" xfId="0" applyFont="1" applyBorder="1" applyAlignment="1">
      <alignment horizontal="center" vertical="center"/>
    </xf>
    <xf numFmtId="0" fontId="26" fillId="0" borderId="20" xfId="0" applyFont="1" applyBorder="1" applyAlignment="1">
      <alignment horizontal="center" vertical="center"/>
    </xf>
    <xf numFmtId="0" fontId="26" fillId="0" borderId="31" xfId="0" applyFont="1" applyFill="1" applyBorder="1" applyAlignment="1">
      <alignment horizontal="center" vertical="center" wrapText="1"/>
    </xf>
    <xf numFmtId="0" fontId="26" fillId="0" borderId="34" xfId="0" applyFont="1" applyFill="1" applyBorder="1" applyAlignment="1">
      <alignment horizontal="center" vertical="center" wrapText="1"/>
    </xf>
    <xf numFmtId="0" fontId="26" fillId="0" borderId="20" xfId="0" applyFont="1" applyFill="1" applyBorder="1" applyAlignment="1">
      <alignment horizontal="center" vertical="center" wrapText="1"/>
    </xf>
    <xf numFmtId="0" fontId="26" fillId="0" borderId="31" xfId="0" applyFont="1" applyBorder="1" applyAlignment="1">
      <alignment vertical="center" wrapText="1"/>
    </xf>
    <xf numFmtId="0" fontId="26" fillId="0" borderId="20" xfId="0" applyFont="1" applyBorder="1" applyAlignment="1">
      <alignment vertical="center" wrapText="1"/>
    </xf>
    <xf numFmtId="0" fontId="24" fillId="0" borderId="0" xfId="0" applyFont="1" applyAlignment="1">
      <alignment horizontal="center"/>
    </xf>
    <xf numFmtId="0" fontId="20" fillId="0" borderId="0" xfId="0" applyFont="1" applyAlignment="1">
      <alignment horizontal="center"/>
    </xf>
    <xf numFmtId="0" fontId="2" fillId="0" borderId="0" xfId="0" applyFont="1" applyAlignment="1">
      <alignment horizontal="center" vertical="top" wrapText="1"/>
    </xf>
    <xf numFmtId="0" fontId="0" fillId="0" borderId="0" xfId="0" applyAlignment="1">
      <alignment horizontal="center" vertical="top" wrapText="1"/>
    </xf>
    <xf numFmtId="0" fontId="27" fillId="5" borderId="25" xfId="0" applyFont="1" applyFill="1" applyBorder="1" applyAlignment="1">
      <alignment horizontal="center" vertical="top" wrapText="1"/>
    </xf>
    <xf numFmtId="0" fontId="27" fillId="5" borderId="26" xfId="0" applyFont="1" applyFill="1" applyBorder="1" applyAlignment="1">
      <alignment horizontal="center" vertical="top" wrapText="1"/>
    </xf>
    <xf numFmtId="164" fontId="42" fillId="10" borderId="25" xfId="0" applyNumberFormat="1" applyFont="1" applyFill="1" applyBorder="1" applyAlignment="1">
      <alignment horizontal="center" vertical="center" wrapText="1"/>
    </xf>
    <xf numFmtId="0" fontId="0" fillId="0" borderId="26" xfId="0" applyBorder="1" applyAlignment="1">
      <alignment wrapText="1"/>
    </xf>
    <xf numFmtId="0" fontId="46" fillId="0" borderId="25" xfId="0" applyFont="1" applyBorder="1" applyAlignment="1">
      <alignment horizontal="center" vertical="center"/>
    </xf>
    <xf numFmtId="0" fontId="46" fillId="0" borderId="42" xfId="0" applyFont="1" applyBorder="1" applyAlignment="1">
      <alignment horizontal="center" vertical="center"/>
    </xf>
    <xf numFmtId="0" fontId="46" fillId="0" borderId="26" xfId="0" applyFont="1" applyBorder="1" applyAlignment="1">
      <alignment horizontal="center" vertical="center"/>
    </xf>
    <xf numFmtId="0" fontId="10" fillId="0" borderId="42" xfId="0" applyFont="1" applyBorder="1" applyAlignment="1">
      <alignment horizontal="center" vertical="center"/>
    </xf>
    <xf numFmtId="0" fontId="10" fillId="0" borderId="26" xfId="0" applyFont="1" applyBorder="1" applyAlignment="1">
      <alignment horizontal="center" vertical="center"/>
    </xf>
    <xf numFmtId="0" fontId="26" fillId="0" borderId="11" xfId="0" applyFont="1" applyBorder="1" applyAlignment="1">
      <alignment vertical="top" wrapText="1"/>
    </xf>
    <xf numFmtId="0" fontId="0" fillId="0" borderId="43" xfId="0" applyBorder="1" applyAlignment="1">
      <alignment vertical="top" wrapText="1"/>
    </xf>
    <xf numFmtId="0" fontId="53" fillId="23" borderId="3" xfId="0" applyFont="1" applyFill="1" applyBorder="1" applyAlignment="1">
      <alignment horizontal="center" vertical="center" wrapText="1"/>
    </xf>
    <xf numFmtId="0" fontId="53" fillId="23" borderId="4" xfId="0" applyFont="1" applyFill="1" applyBorder="1" applyAlignment="1">
      <alignment horizontal="center" vertical="center" wrapText="1"/>
    </xf>
    <xf numFmtId="0" fontId="52" fillId="23" borderId="4" xfId="0" applyFont="1" applyFill="1" applyBorder="1" applyAlignment="1">
      <alignment horizontal="center" vertical="center"/>
    </xf>
    <xf numFmtId="0" fontId="52" fillId="23" borderId="5" xfId="0" applyFont="1" applyFill="1" applyBorder="1" applyAlignment="1">
      <alignment horizontal="center" vertical="center"/>
    </xf>
    <xf numFmtId="164" fontId="53" fillId="10" borderId="8" xfId="0" applyNumberFormat="1" applyFont="1" applyFill="1" applyBorder="1" applyAlignment="1">
      <alignment horizontal="center" vertical="center"/>
    </xf>
    <xf numFmtId="0" fontId="2" fillId="0" borderId="10" xfId="0" applyFont="1" applyBorder="1" applyAlignment="1">
      <alignment horizontal="center"/>
    </xf>
    <xf numFmtId="0" fontId="2" fillId="0" borderId="9" xfId="0" applyFont="1" applyBorder="1" applyAlignment="1">
      <alignment horizontal="center"/>
    </xf>
    <xf numFmtId="0" fontId="0" fillId="0" borderId="0" xfId="0" applyBorder="1" applyAlignment="1">
      <alignment horizontal="center" wrapText="1"/>
    </xf>
    <xf numFmtId="0" fontId="10" fillId="0" borderId="4" xfId="0" applyFont="1" applyBorder="1" applyAlignment="1">
      <alignment horizontal="center" vertical="center"/>
    </xf>
    <xf numFmtId="0" fontId="21" fillId="0" borderId="4" xfId="0" applyFont="1" applyBorder="1" applyAlignment="1">
      <alignment horizontal="center" vertical="center"/>
    </xf>
    <xf numFmtId="0" fontId="35" fillId="0" borderId="10" xfId="0" applyFont="1" applyBorder="1" applyAlignment="1">
      <alignment horizontal="left" vertical="top" wrapText="1"/>
    </xf>
    <xf numFmtId="0" fontId="0" fillId="0" borderId="10" xfId="0" applyBorder="1" applyAlignment="1">
      <alignment horizontal="left" vertical="top" wrapText="1"/>
    </xf>
    <xf numFmtId="0" fontId="0" fillId="0" borderId="10" xfId="0" applyBorder="1" applyAlignment="1">
      <alignment horizontal="center"/>
    </xf>
    <xf numFmtId="0" fontId="27" fillId="14" borderId="34" xfId="0" applyFont="1" applyFill="1" applyBorder="1" applyAlignment="1">
      <alignment vertical="center"/>
    </xf>
    <xf numFmtId="0" fontId="0" fillId="0" borderId="20" xfId="0" applyBorder="1" applyAlignment="1"/>
  </cellXfs>
  <cellStyles count="4">
    <cellStyle name="Comma" xfId="1" builtinId="3"/>
    <cellStyle name="Hyperlink" xfId="2" builtinId="8"/>
    <cellStyle name="Normal" xfId="0" builtinId="0"/>
    <cellStyle name="Percent" xfId="3"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0C2577"/>
      <rgbColor rgb="0000685C"/>
      <rgbColor rgb="008C8984"/>
      <rgbColor rgb="0068217A"/>
      <rgbColor rgb="00EFB22D"/>
      <rgbColor rgb="008977BA"/>
      <rgbColor rgb="009B301C"/>
      <rgbColor rgb="00C41E3A"/>
      <rgbColor rgb="00E6E6E6"/>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66"/>
      <color rgb="FF008080"/>
      <color rgb="FF66FFFF"/>
      <color rgb="FFFF0000"/>
      <color rgb="FFE1FFE1"/>
      <color rgb="FFCCFFCC"/>
      <color rgb="FF99FF99"/>
      <color rgb="FF006600"/>
      <color rgb="FF00800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US"/>
              <a:t>Power Consumption By DRAM</a:t>
            </a:r>
          </a:p>
        </c:rich>
      </c:tx>
      <c:layout>
        <c:manualLayout>
          <c:xMode val="edge"/>
          <c:yMode val="edge"/>
          <c:x val="0.11015141465848086"/>
          <c:y val="1.5384817844844603E-2"/>
        </c:manualLayout>
      </c:layout>
      <c:spPr>
        <a:noFill/>
        <a:ln w="25400">
          <a:noFill/>
        </a:ln>
      </c:spPr>
    </c:title>
    <c:plotArea>
      <c:layout>
        <c:manualLayout>
          <c:layoutTarget val="inner"/>
          <c:xMode val="edge"/>
          <c:yMode val="edge"/>
          <c:x val="0.17278635932686945"/>
          <c:y val="0.19076951738208742"/>
          <c:w val="0.35853169560324982"/>
          <c:h val="0.744616503330091"/>
        </c:manualLayout>
      </c:layout>
      <c:barChart>
        <c:barDir val="col"/>
        <c:grouping val="stacked"/>
        <c:ser>
          <c:idx val="1"/>
          <c:order val="0"/>
          <c:tx>
            <c:strRef>
              <c:f>Summary!$J$11</c:f>
              <c:strCache>
                <c:ptCount val="1"/>
                <c:pt idx="0">
                  <c:v>VDD Activate Power</c:v>
                </c:pt>
              </c:strCache>
            </c:strRef>
          </c:tx>
          <c:spPr>
            <a:solidFill>
              <a:srgbClr val="EE3424"/>
            </a:solidFill>
            <a:ln w="12700">
              <a:noFill/>
              <a:prstDash val="solid"/>
            </a:ln>
          </c:spPr>
          <c:val>
            <c:numRef>
              <c:f>Summary!$K$11</c:f>
              <c:numCache>
                <c:formatCode>0.0</c:formatCode>
                <c:ptCount val="1"/>
                <c:pt idx="0">
                  <c:v>30.924800000000001</c:v>
                </c:pt>
              </c:numCache>
            </c:numRef>
          </c:val>
        </c:ser>
        <c:ser>
          <c:idx val="2"/>
          <c:order val="1"/>
          <c:tx>
            <c:strRef>
              <c:f>Summary!$J$12</c:f>
              <c:strCache>
                <c:ptCount val="1"/>
                <c:pt idx="0">
                  <c:v>VPP Activate Power</c:v>
                </c:pt>
              </c:strCache>
            </c:strRef>
          </c:tx>
          <c:spPr>
            <a:solidFill>
              <a:schemeClr val="accent2">
                <a:lumMod val="60000"/>
                <a:lumOff val="40000"/>
              </a:schemeClr>
            </a:solidFill>
            <a:ln w="12700">
              <a:noFill/>
              <a:prstDash val="solid"/>
            </a:ln>
          </c:spPr>
          <c:val>
            <c:numRef>
              <c:f>Summary!$K$12</c:f>
              <c:numCache>
                <c:formatCode>0.0</c:formatCode>
                <c:ptCount val="1"/>
                <c:pt idx="0">
                  <c:v>4.6159999999999961</c:v>
                </c:pt>
              </c:numCache>
            </c:numRef>
          </c:val>
        </c:ser>
        <c:ser>
          <c:idx val="0"/>
          <c:order val="2"/>
          <c:tx>
            <c:strRef>
              <c:f>Summary!$J$13</c:f>
              <c:strCache>
                <c:ptCount val="1"/>
                <c:pt idx="0">
                  <c:v>VDD RD/WR/Term Power</c:v>
                </c:pt>
              </c:strCache>
            </c:strRef>
          </c:tx>
          <c:spPr>
            <a:solidFill>
              <a:schemeClr val="accent6">
                <a:lumMod val="75000"/>
              </a:schemeClr>
            </a:solidFill>
            <a:ln w="12700">
              <a:noFill/>
              <a:prstDash val="solid"/>
            </a:ln>
          </c:spPr>
          <c:val>
            <c:numRef>
              <c:f>Summary!$K$13</c:f>
              <c:numCache>
                <c:formatCode>0.0</c:formatCode>
                <c:ptCount val="1"/>
                <c:pt idx="0">
                  <c:v>79.949662046368459</c:v>
                </c:pt>
              </c:numCache>
            </c:numRef>
          </c:val>
        </c:ser>
        <c:ser>
          <c:idx val="3"/>
          <c:order val="3"/>
          <c:tx>
            <c:strRef>
              <c:f>Summary!$J$14</c:f>
              <c:strCache>
                <c:ptCount val="1"/>
                <c:pt idx="0">
                  <c:v>VPP RD/WR/Term Power</c:v>
                </c:pt>
              </c:strCache>
            </c:strRef>
          </c:tx>
          <c:spPr>
            <a:solidFill>
              <a:schemeClr val="accent6">
                <a:lumMod val="60000"/>
                <a:lumOff val="40000"/>
              </a:schemeClr>
            </a:solidFill>
            <a:ln w="12700">
              <a:solidFill>
                <a:srgbClr val="000000"/>
              </a:solidFill>
            </a:ln>
          </c:spPr>
          <c:val>
            <c:numRef>
              <c:f>Summary!$K$14</c:f>
              <c:numCache>
                <c:formatCode>0.0</c:formatCode>
                <c:ptCount val="1"/>
                <c:pt idx="0">
                  <c:v>0</c:v>
                </c:pt>
              </c:numCache>
            </c:numRef>
          </c:val>
        </c:ser>
        <c:ser>
          <c:idx val="4"/>
          <c:order val="4"/>
          <c:tx>
            <c:strRef>
              <c:f>Summary!$J$15</c:f>
              <c:strCache>
                <c:ptCount val="1"/>
                <c:pt idx="0">
                  <c:v>VDD Background  Power</c:v>
                </c:pt>
              </c:strCache>
            </c:strRef>
          </c:tx>
          <c:spPr>
            <a:solidFill>
              <a:schemeClr val="tx2">
                <a:lumMod val="75000"/>
              </a:schemeClr>
            </a:solidFill>
            <a:ln w="12700" cmpd="sng">
              <a:noFill/>
            </a:ln>
          </c:spPr>
          <c:val>
            <c:numRef>
              <c:f>Summary!$K$15</c:f>
              <c:numCache>
                <c:formatCode>0.0</c:formatCode>
                <c:ptCount val="1"/>
                <c:pt idx="0">
                  <c:v>69.391534422067053</c:v>
                </c:pt>
              </c:numCache>
            </c:numRef>
          </c:val>
        </c:ser>
        <c:ser>
          <c:idx val="5"/>
          <c:order val="5"/>
          <c:tx>
            <c:strRef>
              <c:f>Summary!$J$16</c:f>
              <c:strCache>
                <c:ptCount val="1"/>
                <c:pt idx="0">
                  <c:v>VPP Background  Power</c:v>
                </c:pt>
              </c:strCache>
            </c:strRef>
          </c:tx>
          <c:spPr>
            <a:solidFill>
              <a:schemeClr val="tx2">
                <a:lumMod val="40000"/>
                <a:lumOff val="60000"/>
              </a:schemeClr>
            </a:solidFill>
            <a:ln w="12700">
              <a:noFill/>
            </a:ln>
          </c:spPr>
          <c:val>
            <c:numRef>
              <c:f>Summary!$K$16</c:f>
              <c:numCache>
                <c:formatCode>0.0</c:formatCode>
                <c:ptCount val="1"/>
                <c:pt idx="0">
                  <c:v>12.501837959489873</c:v>
                </c:pt>
              </c:numCache>
            </c:numRef>
          </c:val>
        </c:ser>
        <c:overlap val="100"/>
        <c:axId val="85859712"/>
        <c:axId val="91330816"/>
      </c:barChart>
      <c:catAx>
        <c:axId val="85859712"/>
        <c:scaling>
          <c:orientation val="minMax"/>
        </c:scaling>
        <c:delete val="1"/>
        <c:axPos val="b"/>
        <c:numFmt formatCode="0.0" sourceLinked="1"/>
        <c:tickLblPos val="none"/>
        <c:crossAx val="91330816"/>
        <c:crosses val="autoZero"/>
        <c:auto val="1"/>
        <c:lblAlgn val="ctr"/>
        <c:lblOffset val="100"/>
      </c:catAx>
      <c:valAx>
        <c:axId val="91330816"/>
        <c:scaling>
          <c:orientation val="minMax"/>
        </c:scaling>
        <c:axPos val="l"/>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Device Power (mW)</a:t>
                </a:r>
              </a:p>
            </c:rich>
          </c:tx>
          <c:layout>
            <c:manualLayout>
              <c:xMode val="edge"/>
              <c:yMode val="edge"/>
              <c:x val="5.183585313174946E-2"/>
              <c:y val="0.36615474597709213"/>
            </c:manualLayout>
          </c:layout>
          <c:spPr>
            <a:noFill/>
            <a:ln w="25400">
              <a:noFill/>
            </a:ln>
          </c:spPr>
        </c:title>
        <c:numFmt formatCode="0" sourceLinked="0"/>
        <c:tickLblPos val="nextTo"/>
        <c:spPr>
          <a:ln w="3175">
            <a:solidFill>
              <a:srgbClr val="000000"/>
            </a:solidFill>
            <a:prstDash val="solid"/>
          </a:ln>
        </c:spPr>
        <c:txPr>
          <a:bodyPr rot="0" vert="horz"/>
          <a:lstStyle/>
          <a:p>
            <a:pPr>
              <a:defRPr sz="950" b="0" i="0" u="none" strike="noStrike" baseline="0">
                <a:solidFill>
                  <a:srgbClr val="000000"/>
                </a:solidFill>
                <a:latin typeface="Frutiger 55 Roman"/>
                <a:ea typeface="Frutiger 55 Roman"/>
                <a:cs typeface="Frutiger 55 Roman"/>
              </a:defRPr>
            </a:pPr>
            <a:endParaRPr lang="en-US"/>
          </a:p>
        </c:txPr>
        <c:crossAx val="85859712"/>
        <c:crosses val="autoZero"/>
        <c:crossBetween val="between"/>
      </c:valAx>
      <c:spPr>
        <a:solidFill>
          <a:srgbClr val="E6E6E6"/>
        </a:solidFill>
        <a:ln w="3175">
          <a:solidFill>
            <a:srgbClr val="000000"/>
          </a:solidFill>
          <a:prstDash val="solid"/>
        </a:ln>
      </c:spPr>
    </c:plotArea>
    <c:legend>
      <c:legendPos val="r"/>
      <c:layout>
        <c:manualLayout>
          <c:xMode val="edge"/>
          <c:yMode val="edge"/>
          <c:x val="0.56011587104527705"/>
          <c:y val="0.20771141768838791"/>
          <c:w val="0.42825326099896288"/>
          <c:h val="0.47912384211026582"/>
        </c:manualLayout>
      </c:layout>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9525">
      <a:noFill/>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788" r="0.75000000000000788" t="1" header="0.5" footer="0.5"/>
    <c:pageSetup paperSize="0" orientation="landscape" horizontalDpi="-4" verticalDpi="-4"/>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US"/>
              <a:t>Power Consumption Breakout</a:t>
            </a:r>
          </a:p>
        </c:rich>
      </c:tx>
      <c:layout>
        <c:manualLayout>
          <c:xMode val="edge"/>
          <c:yMode val="edge"/>
          <c:x val="0.5857166136019939"/>
          <c:y val="4.3543095419524155E-2"/>
        </c:manualLayout>
      </c:layout>
      <c:spPr>
        <a:noFill/>
        <a:ln w="25400">
          <a:noFill/>
        </a:ln>
      </c:spPr>
    </c:title>
    <c:plotArea>
      <c:layout>
        <c:manualLayout>
          <c:layoutTarget val="inner"/>
          <c:xMode val="edge"/>
          <c:yMode val="edge"/>
          <c:x val="5.5774608929897523E-2"/>
          <c:y val="1.8555160443654222E-2"/>
          <c:w val="0.8857101796983281"/>
          <c:h val="0.79751651003301949"/>
        </c:manualLayout>
      </c:layout>
      <c:barChart>
        <c:barDir val="col"/>
        <c:grouping val="stacked"/>
        <c:ser>
          <c:idx val="0"/>
          <c:order val="0"/>
          <c:tx>
            <c:strRef>
              <c:f>Summary!$E$31</c:f>
              <c:strCache>
                <c:ptCount val="1"/>
                <c:pt idx="0">
                  <c:v>VDD</c:v>
                </c:pt>
              </c:strCache>
            </c:strRef>
          </c:tx>
          <c:spPr>
            <a:solidFill>
              <a:srgbClr val="0C2577"/>
            </a:solidFill>
            <a:ln w="12700">
              <a:solidFill>
                <a:srgbClr val="000000"/>
              </a:solidFill>
              <a:prstDash val="solid"/>
            </a:ln>
          </c:spPr>
          <c:dPt>
            <c:idx val="0"/>
            <c:spPr>
              <a:solidFill>
                <a:srgbClr val="EE3424"/>
              </a:solidFill>
              <a:ln w="12700">
                <a:solidFill>
                  <a:srgbClr val="000000"/>
                </a:solidFill>
                <a:prstDash val="solid"/>
              </a:ln>
            </c:spPr>
          </c:dPt>
          <c:dPt>
            <c:idx val="1"/>
            <c:spPr>
              <a:solidFill>
                <a:srgbClr val="F68933"/>
              </a:solidFill>
              <a:ln w="12700">
                <a:solidFill>
                  <a:srgbClr val="000000"/>
                </a:solidFill>
                <a:prstDash val="solid"/>
              </a:ln>
            </c:spPr>
          </c:dPt>
          <c:dPt>
            <c:idx val="2"/>
            <c:spPr>
              <a:solidFill>
                <a:srgbClr val="FF9900"/>
              </a:solidFill>
              <a:ln w="12700">
                <a:solidFill>
                  <a:srgbClr val="000000"/>
                </a:solidFill>
                <a:prstDash val="solid"/>
              </a:ln>
            </c:spPr>
          </c:dPt>
          <c:dPt>
            <c:idx val="3"/>
            <c:spPr>
              <a:solidFill>
                <a:srgbClr val="FF9900"/>
              </a:solidFill>
              <a:ln w="12700">
                <a:solidFill>
                  <a:srgbClr val="000000"/>
                </a:solidFill>
                <a:prstDash val="solid"/>
              </a:ln>
            </c:spPr>
          </c:dPt>
          <c:dPt>
            <c:idx val="4"/>
            <c:spPr>
              <a:solidFill>
                <a:srgbClr val="FF9900"/>
              </a:solidFill>
              <a:ln w="12700">
                <a:solidFill>
                  <a:srgbClr val="000000"/>
                </a:solidFill>
                <a:prstDash val="solid"/>
              </a:ln>
            </c:spPr>
          </c:dPt>
          <c:dPt>
            <c:idx val="5"/>
            <c:spPr>
              <a:solidFill>
                <a:srgbClr val="072A5E"/>
              </a:solidFill>
              <a:ln w="12700">
                <a:solidFill>
                  <a:srgbClr val="000000"/>
                </a:solidFill>
                <a:prstDash val="solid"/>
              </a:ln>
            </c:spPr>
          </c:dPt>
          <c:dPt>
            <c:idx val="6"/>
            <c:spPr>
              <a:solidFill>
                <a:srgbClr val="072A5E"/>
              </a:solidFill>
              <a:ln w="12700">
                <a:solidFill>
                  <a:srgbClr val="000000"/>
                </a:solidFill>
                <a:prstDash val="solid"/>
              </a:ln>
            </c:spPr>
          </c:dPt>
          <c:dPt>
            <c:idx val="7"/>
            <c:spPr>
              <a:solidFill>
                <a:srgbClr val="072A5E"/>
              </a:solidFill>
              <a:ln w="12700">
                <a:solidFill>
                  <a:srgbClr val="000000"/>
                </a:solidFill>
                <a:prstDash val="solid"/>
              </a:ln>
            </c:spPr>
          </c:dPt>
          <c:dPt>
            <c:idx val="8"/>
            <c:spPr>
              <a:solidFill>
                <a:srgbClr val="072A5E"/>
              </a:solidFill>
              <a:ln w="12700">
                <a:solidFill>
                  <a:srgbClr val="000000"/>
                </a:solidFill>
                <a:prstDash val="solid"/>
              </a:ln>
            </c:spPr>
          </c:dPt>
          <c:dPt>
            <c:idx val="9"/>
            <c:spPr>
              <a:solidFill>
                <a:srgbClr val="072A5E"/>
              </a:solidFill>
              <a:ln w="12700">
                <a:solidFill>
                  <a:srgbClr val="000000"/>
                </a:solidFill>
                <a:prstDash val="solid"/>
              </a:ln>
            </c:spPr>
          </c:dPt>
          <c:dPt>
            <c:idx val="10"/>
            <c:spPr>
              <a:solidFill>
                <a:srgbClr val="492F92"/>
              </a:solidFill>
              <a:ln w="12700">
                <a:solidFill>
                  <a:srgbClr val="000000"/>
                </a:solidFill>
                <a:prstDash val="solid"/>
              </a:ln>
            </c:spPr>
          </c:dPt>
          <c:cat>
            <c:strRef>
              <c:f>Summary!$C$32:$C$42</c:f>
              <c:strCache>
                <c:ptCount val="11"/>
                <c:pt idx="0">
                  <c:v>ACT</c:v>
                </c:pt>
                <c:pt idx="1">
                  <c:v>RD</c:v>
                </c:pt>
                <c:pt idx="2">
                  <c:v>WR</c:v>
                </c:pt>
                <c:pt idx="3">
                  <c:v>READ I/O</c:v>
                </c:pt>
                <c:pt idx="4">
                  <c:v>Write ODT</c:v>
                </c:pt>
                <c:pt idx="5">
                  <c:v>ACT_STBY</c:v>
                </c:pt>
                <c:pt idx="6">
                  <c:v>PRE_STBY</c:v>
                </c:pt>
                <c:pt idx="7">
                  <c:v>ACT_PDN</c:v>
                </c:pt>
                <c:pt idx="8">
                  <c:v>PRE_PDN</c:v>
                </c:pt>
                <c:pt idx="9">
                  <c:v>REF</c:v>
                </c:pt>
                <c:pt idx="10">
                  <c:v>TERM 2nd rank</c:v>
                </c:pt>
              </c:strCache>
            </c:strRef>
          </c:cat>
          <c:val>
            <c:numRef>
              <c:f>Summary!$E$32:$E$42</c:f>
              <c:numCache>
                <c:formatCode>0.0</c:formatCode>
                <c:ptCount val="11"/>
                <c:pt idx="0">
                  <c:v>30.924800000000001</c:v>
                </c:pt>
                <c:pt idx="1">
                  <c:v>30.007501875468865</c:v>
                </c:pt>
                <c:pt idx="2">
                  <c:v>15.483870967741934</c:v>
                </c:pt>
                <c:pt idx="3">
                  <c:v>27.938297756838288</c:v>
                </c:pt>
                <c:pt idx="4">
                  <c:v>6.5199914463193629</c:v>
                </c:pt>
                <c:pt idx="5">
                  <c:v>39.753938484621159</c:v>
                </c:pt>
                <c:pt idx="6">
                  <c:v>7.5618904726181553</c:v>
                </c:pt>
                <c:pt idx="7">
                  <c:v>3.7449362340585157</c:v>
                </c:pt>
                <c:pt idx="8">
                  <c:v>0.60000000000000009</c:v>
                </c:pt>
                <c:pt idx="9">
                  <c:v>17.73076923076923</c:v>
                </c:pt>
                <c:pt idx="10">
                  <c:v>22.575056988246427</c:v>
                </c:pt>
              </c:numCache>
            </c:numRef>
          </c:val>
        </c:ser>
        <c:ser>
          <c:idx val="1"/>
          <c:order val="1"/>
          <c:tx>
            <c:strRef>
              <c:f>Summary!$F$31</c:f>
              <c:strCache>
                <c:ptCount val="1"/>
                <c:pt idx="0">
                  <c:v>VPP</c:v>
                </c:pt>
              </c:strCache>
            </c:strRef>
          </c:tx>
          <c:spPr>
            <a:solidFill>
              <a:schemeClr val="tx2">
                <a:lumMod val="40000"/>
                <a:lumOff val="60000"/>
              </a:schemeClr>
            </a:solidFill>
            <a:ln w="12700">
              <a:solidFill>
                <a:srgbClr val="000000"/>
              </a:solidFill>
            </a:ln>
          </c:spPr>
          <c:dPt>
            <c:idx val="0"/>
            <c:spPr>
              <a:solidFill>
                <a:schemeClr val="accent2">
                  <a:lumMod val="60000"/>
                  <a:lumOff val="40000"/>
                </a:schemeClr>
              </a:solidFill>
              <a:ln w="12700">
                <a:solidFill>
                  <a:srgbClr val="000000"/>
                </a:solidFill>
              </a:ln>
            </c:spPr>
          </c:dPt>
          <c:dPt>
            <c:idx val="1"/>
            <c:spPr>
              <a:solidFill>
                <a:schemeClr val="accent6">
                  <a:lumMod val="60000"/>
                  <a:lumOff val="40000"/>
                </a:schemeClr>
              </a:solidFill>
              <a:ln w="12700">
                <a:solidFill>
                  <a:srgbClr val="000000"/>
                </a:solidFill>
              </a:ln>
            </c:spPr>
          </c:dPt>
          <c:dPt>
            <c:idx val="2"/>
            <c:spPr>
              <a:solidFill>
                <a:schemeClr val="accent6">
                  <a:lumMod val="60000"/>
                  <a:lumOff val="40000"/>
                </a:schemeClr>
              </a:solidFill>
              <a:ln w="12700">
                <a:solidFill>
                  <a:srgbClr val="000000"/>
                </a:solidFill>
              </a:ln>
            </c:spPr>
          </c:dPt>
          <c:dPt>
            <c:idx val="3"/>
            <c:spPr>
              <a:solidFill>
                <a:schemeClr val="accent6">
                  <a:lumMod val="60000"/>
                  <a:lumOff val="40000"/>
                </a:schemeClr>
              </a:solidFill>
              <a:ln w="12700">
                <a:solidFill>
                  <a:srgbClr val="000000"/>
                </a:solidFill>
              </a:ln>
            </c:spPr>
          </c:dPt>
          <c:dPt>
            <c:idx val="4"/>
            <c:spPr>
              <a:solidFill>
                <a:schemeClr val="accent6">
                  <a:lumMod val="60000"/>
                  <a:lumOff val="40000"/>
                </a:schemeClr>
              </a:solidFill>
              <a:ln w="12700">
                <a:solidFill>
                  <a:srgbClr val="000000"/>
                </a:solidFill>
              </a:ln>
            </c:spPr>
          </c:dPt>
          <c:cat>
            <c:strRef>
              <c:f>Summary!$C$32:$C$42</c:f>
              <c:strCache>
                <c:ptCount val="11"/>
                <c:pt idx="0">
                  <c:v>ACT</c:v>
                </c:pt>
                <c:pt idx="1">
                  <c:v>RD</c:v>
                </c:pt>
                <c:pt idx="2">
                  <c:v>WR</c:v>
                </c:pt>
                <c:pt idx="3">
                  <c:v>READ I/O</c:v>
                </c:pt>
                <c:pt idx="4">
                  <c:v>Write ODT</c:v>
                </c:pt>
                <c:pt idx="5">
                  <c:v>ACT_STBY</c:v>
                </c:pt>
                <c:pt idx="6">
                  <c:v>PRE_STBY</c:v>
                </c:pt>
                <c:pt idx="7">
                  <c:v>ACT_PDN</c:v>
                </c:pt>
                <c:pt idx="8">
                  <c:v>PRE_PDN</c:v>
                </c:pt>
                <c:pt idx="9">
                  <c:v>REF</c:v>
                </c:pt>
                <c:pt idx="10">
                  <c:v>TERM 2nd rank</c:v>
                </c:pt>
              </c:strCache>
            </c:strRef>
          </c:cat>
          <c:val>
            <c:numRef>
              <c:f>Summary!$F$32:$F$42</c:f>
              <c:numCache>
                <c:formatCode>0.0</c:formatCode>
                <c:ptCount val="11"/>
                <c:pt idx="0">
                  <c:v>4.6159999999999961</c:v>
                </c:pt>
                <c:pt idx="1">
                  <c:v>0</c:v>
                </c:pt>
                <c:pt idx="2">
                  <c:v>0</c:v>
                </c:pt>
                <c:pt idx="3">
                  <c:v>0</c:v>
                </c:pt>
                <c:pt idx="4">
                  <c:v>0</c:v>
                </c:pt>
                <c:pt idx="5">
                  <c:v>5.4013503375843968</c:v>
                </c:pt>
                <c:pt idx="6">
                  <c:v>1.3503375843960992</c:v>
                </c:pt>
                <c:pt idx="7">
                  <c:v>0.60015003750937745</c:v>
                </c:pt>
                <c:pt idx="8">
                  <c:v>0.15000000000000002</c:v>
                </c:pt>
                <c:pt idx="9">
                  <c:v>5</c:v>
                </c:pt>
                <c:pt idx="10">
                  <c:v>0</c:v>
                </c:pt>
              </c:numCache>
            </c:numRef>
          </c:val>
        </c:ser>
        <c:overlap val="100"/>
        <c:axId val="96433280"/>
        <c:axId val="96456704"/>
      </c:barChart>
      <c:catAx>
        <c:axId val="96433280"/>
        <c:scaling>
          <c:orientation val="minMax"/>
        </c:scaling>
        <c:axPos val="b"/>
        <c:numFmt formatCode="General" sourceLinked="1"/>
        <c:tickLblPos val="nextTo"/>
        <c:spPr>
          <a:ln w="3175">
            <a:solidFill>
              <a:srgbClr val="000000"/>
            </a:solidFill>
            <a:prstDash val="solid"/>
          </a:ln>
        </c:spPr>
        <c:txPr>
          <a:bodyPr rot="2460000" vert="horz"/>
          <a:lstStyle/>
          <a:p>
            <a:pPr>
              <a:defRPr sz="1100" b="0" i="0" u="none" strike="noStrike" baseline="0">
                <a:solidFill>
                  <a:srgbClr val="000000"/>
                </a:solidFill>
                <a:latin typeface="Frutiger 55 Roman"/>
                <a:ea typeface="Frutiger 55 Roman"/>
                <a:cs typeface="Frutiger 55 Roman"/>
              </a:defRPr>
            </a:pPr>
            <a:endParaRPr lang="en-US"/>
          </a:p>
        </c:txPr>
        <c:crossAx val="96456704"/>
        <c:crosses val="autoZero"/>
        <c:auto val="1"/>
        <c:lblAlgn val="ctr"/>
        <c:lblOffset val="100"/>
        <c:tickLblSkip val="1"/>
        <c:tickMarkSkip val="1"/>
      </c:catAx>
      <c:valAx>
        <c:axId val="96456704"/>
        <c:scaling>
          <c:orientation val="minMax"/>
        </c:scaling>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Power (mW)</a:t>
                </a:r>
              </a:p>
            </c:rich>
          </c:tx>
          <c:layout>
            <c:manualLayout>
              <c:xMode val="edge"/>
              <c:yMode val="edge"/>
              <c:x val="7.9022768202084833E-4"/>
              <c:y val="0.34634822693947537"/>
            </c:manualLayout>
          </c:layout>
          <c:spPr>
            <a:noFill/>
            <a:ln w="25400">
              <a:noFill/>
            </a:ln>
          </c:spPr>
        </c:title>
        <c:numFmt formatCode="0" sourceLinked="0"/>
        <c:tickLblPos val="nextTo"/>
        <c:spPr>
          <a:ln w="3175">
            <a:solidFill>
              <a:srgbClr val="000000"/>
            </a:solidFill>
            <a:prstDash val="solid"/>
          </a:ln>
        </c:spPr>
        <c:txPr>
          <a:bodyPr rot="0" vert="horz"/>
          <a:lstStyle/>
          <a:p>
            <a:pPr>
              <a:defRPr sz="1200" b="0" i="0" u="none" strike="noStrike" baseline="0">
                <a:solidFill>
                  <a:srgbClr val="000000"/>
                </a:solidFill>
                <a:latin typeface="Frutiger 55 Roman"/>
                <a:ea typeface="Frutiger 55 Roman"/>
                <a:cs typeface="Frutiger 55 Roman"/>
              </a:defRPr>
            </a:pPr>
            <a:endParaRPr lang="en-US"/>
          </a:p>
        </c:txPr>
        <c:crossAx val="96433280"/>
        <c:crosses val="autoZero"/>
        <c:crossBetween val="between"/>
      </c:valAx>
      <c:spPr>
        <a:solidFill>
          <a:srgbClr val="E6E6E6"/>
        </a:solidFill>
        <a:ln w="3175">
          <a:solidFill>
            <a:srgbClr val="000000"/>
          </a:solidFill>
          <a:prstDash val="solid"/>
        </a:ln>
      </c:spPr>
    </c:plotArea>
    <c:plotVisOnly val="1"/>
    <c:dispBlanksAs val="gap"/>
  </c:chart>
  <c:spPr>
    <a:solidFill>
      <a:srgbClr val="FFFFFF"/>
    </a:solidFill>
    <a:ln w="9525">
      <a:noFill/>
    </a:ln>
  </c:spPr>
  <c:txPr>
    <a:bodyPr/>
    <a:lstStyle/>
    <a:p>
      <a:pPr>
        <a:defRPr sz="1475" b="0" i="0" u="none" strike="noStrike" baseline="0">
          <a:solidFill>
            <a:srgbClr val="000000"/>
          </a:solidFill>
          <a:latin typeface="Arial"/>
          <a:ea typeface="Arial"/>
          <a:cs typeface="Arial"/>
        </a:defRPr>
      </a:pPr>
      <a:endParaRPr lang="en-US"/>
    </a:p>
  </c:txPr>
  <c:printSettings>
    <c:headerFooter alignWithMargins="0"/>
    <c:pageMargins b="1" l="0.75000000000000788" r="0.75000000000000788" t="1" header="0.5" footer="0.5"/>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20</xdr:row>
      <xdr:rowOff>0</xdr:rowOff>
    </xdr:to>
    <xdr:sp macro="" textlink="">
      <xdr:nvSpPr>
        <xdr:cNvPr id="3075" name="Rectangle 3"/>
        <xdr:cNvSpPr>
          <a:spLocks noChangeArrowheads="1"/>
        </xdr:cNvSpPr>
      </xdr:nvSpPr>
      <xdr:spPr bwMode="auto">
        <a:xfrm>
          <a:off x="590550" y="171450"/>
          <a:ext cx="5219700" cy="50292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twoCellAnchor editAs="oneCell">
    <xdr:from>
      <xdr:col>3</xdr:col>
      <xdr:colOff>2190750</xdr:colOff>
      <xdr:row>1</xdr:row>
      <xdr:rowOff>85725</xdr:rowOff>
    </xdr:from>
    <xdr:to>
      <xdr:col>3</xdr:col>
      <xdr:colOff>3867150</xdr:colOff>
      <xdr:row>4</xdr:row>
      <xdr:rowOff>57150</xdr:rowOff>
    </xdr:to>
    <xdr:pic>
      <xdr:nvPicPr>
        <xdr:cNvPr id="3474"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4038600" y="257175"/>
          <a:ext cx="1676400" cy="457200"/>
        </a:xfrm>
        <a:prstGeom prst="rect">
          <a:avLst/>
        </a:prstGeom>
        <a:noFill/>
        <a:ln w="1">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6096000</xdr:colOff>
      <xdr:row>0</xdr:row>
      <xdr:rowOff>57150</xdr:rowOff>
    </xdr:from>
    <xdr:to>
      <xdr:col>2</xdr:col>
      <xdr:colOff>7772400</xdr:colOff>
      <xdr:row>3</xdr:row>
      <xdr:rowOff>28575</xdr:rowOff>
    </xdr:to>
    <xdr:pic>
      <xdr:nvPicPr>
        <xdr:cNvPr id="6345"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6734175" y="57150"/>
          <a:ext cx="1676400" cy="457200"/>
        </a:xfrm>
        <a:prstGeom prst="rect">
          <a:avLst/>
        </a:prstGeom>
        <a:noFill/>
        <a:ln w="1">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1</xdr:row>
      <xdr:rowOff>266700</xdr:rowOff>
    </xdr:from>
    <xdr:to>
      <xdr:col>2</xdr:col>
      <xdr:colOff>923925</xdr:colOff>
      <xdr:row>3</xdr:row>
      <xdr:rowOff>171450</xdr:rowOff>
    </xdr:to>
    <xdr:pic>
      <xdr:nvPicPr>
        <xdr:cNvPr id="7369"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123825" y="314325"/>
          <a:ext cx="1676400" cy="457200"/>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5</xdr:row>
      <xdr:rowOff>161925</xdr:rowOff>
    </xdr:from>
    <xdr:to>
      <xdr:col>5</xdr:col>
      <xdr:colOff>228600</xdr:colOff>
      <xdr:row>9</xdr:row>
      <xdr:rowOff>219075</xdr:rowOff>
    </xdr:to>
    <xdr:sp macro="" textlink="">
      <xdr:nvSpPr>
        <xdr:cNvPr id="5107" name="AutoShape 9"/>
        <xdr:cNvSpPr>
          <a:spLocks/>
        </xdr:cNvSpPr>
      </xdr:nvSpPr>
      <xdr:spPr bwMode="auto">
        <a:xfrm>
          <a:off x="5857875" y="1104900"/>
          <a:ext cx="171450" cy="1066800"/>
        </a:xfrm>
        <a:prstGeom prst="rightBrace">
          <a:avLst>
            <a:gd name="adj1" fmla="val 51852"/>
            <a:gd name="adj2" fmla="val 50000"/>
          </a:avLst>
        </a:prstGeom>
        <a:noFill/>
        <a:ln w="28575">
          <a:solidFill>
            <a:srgbClr val="00685C"/>
          </a:solidFill>
          <a:round/>
          <a:headEnd/>
          <a:tailEnd/>
        </a:ln>
      </xdr:spPr>
    </xdr:sp>
    <xdr:clientData/>
  </xdr:twoCellAnchor>
  <xdr:twoCellAnchor editAs="oneCell">
    <xdr:from>
      <xdr:col>5</xdr:col>
      <xdr:colOff>295275</xdr:colOff>
      <xdr:row>4</xdr:row>
      <xdr:rowOff>266700</xdr:rowOff>
    </xdr:from>
    <xdr:to>
      <xdr:col>6</xdr:col>
      <xdr:colOff>219075</xdr:colOff>
      <xdr:row>9</xdr:row>
      <xdr:rowOff>228600</xdr:rowOff>
    </xdr:to>
    <xdr:sp macro="" textlink="">
      <xdr:nvSpPr>
        <xdr:cNvPr id="4106" name="Text Box 10"/>
        <xdr:cNvSpPr txBox="1">
          <a:spLocks noChangeArrowheads="1"/>
        </xdr:cNvSpPr>
      </xdr:nvSpPr>
      <xdr:spPr bwMode="auto">
        <a:xfrm>
          <a:off x="6096000" y="914400"/>
          <a:ext cx="2419350" cy="1266825"/>
        </a:xfrm>
        <a:prstGeom prst="rect">
          <a:avLst/>
        </a:prstGeom>
        <a:solidFill>
          <a:srgbClr val="00685C"/>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Inputs for DRAM selction are chosen here.</a:t>
          </a:r>
        </a:p>
        <a:p>
          <a:pPr algn="l" rtl="0">
            <a:defRPr sz="1000"/>
          </a:pPr>
          <a:endParaRPr lang="en-US" sz="1200" b="1" i="0" u="none" strike="noStrike" baseline="0">
            <a:solidFill>
              <a:srgbClr val="FFFFFF"/>
            </a:solidFill>
            <a:latin typeface="Arial"/>
            <a:cs typeface="Arial"/>
          </a:endParaRPr>
        </a:p>
        <a:p>
          <a:pPr algn="l" rtl="0">
            <a:defRPr sz="1000"/>
          </a:pPr>
          <a:r>
            <a:rPr lang="en-US" sz="1200" b="1" i="0" u="none" strike="noStrike" baseline="0">
              <a:solidFill>
                <a:srgbClr val="FFFFFF"/>
              </a:solidFill>
              <a:latin typeface="Arial"/>
              <a:cs typeface="Arial"/>
            </a:rPr>
            <a:t>The table below is automatically updated from Device Spec Worksheet</a:t>
          </a:r>
        </a:p>
      </xdr:txBody>
    </xdr:sp>
    <xdr:clientData/>
  </xdr:twoCellAnchor>
  <xdr:twoCellAnchor>
    <xdr:from>
      <xdr:col>5</xdr:col>
      <xdr:colOff>57150</xdr:colOff>
      <xdr:row>13</xdr:row>
      <xdr:rowOff>9525</xdr:rowOff>
    </xdr:from>
    <xdr:to>
      <xdr:col>5</xdr:col>
      <xdr:colOff>247650</xdr:colOff>
      <xdr:row>44</xdr:row>
      <xdr:rowOff>190500</xdr:rowOff>
    </xdr:to>
    <xdr:sp macro="" textlink="">
      <xdr:nvSpPr>
        <xdr:cNvPr id="5109" name="AutoShape 11"/>
        <xdr:cNvSpPr>
          <a:spLocks/>
        </xdr:cNvSpPr>
      </xdr:nvSpPr>
      <xdr:spPr bwMode="auto">
        <a:xfrm>
          <a:off x="5857875" y="2695575"/>
          <a:ext cx="190500" cy="4562475"/>
        </a:xfrm>
        <a:prstGeom prst="rightBrace">
          <a:avLst>
            <a:gd name="adj1" fmla="val 199583"/>
            <a:gd name="adj2" fmla="val 50000"/>
          </a:avLst>
        </a:prstGeom>
        <a:noFill/>
        <a:ln w="28575">
          <a:solidFill>
            <a:srgbClr val="0C2577"/>
          </a:solidFill>
          <a:round/>
          <a:headEnd/>
          <a:tailEnd/>
        </a:ln>
      </xdr:spPr>
    </xdr:sp>
    <xdr:clientData/>
  </xdr:twoCellAnchor>
  <xdr:twoCellAnchor editAs="oneCell">
    <xdr:from>
      <xdr:col>5</xdr:col>
      <xdr:colOff>304800</xdr:colOff>
      <xdr:row>25</xdr:row>
      <xdr:rowOff>66675</xdr:rowOff>
    </xdr:from>
    <xdr:to>
      <xdr:col>6</xdr:col>
      <xdr:colOff>447675</xdr:colOff>
      <xdr:row>32</xdr:row>
      <xdr:rowOff>28575</xdr:rowOff>
    </xdr:to>
    <xdr:sp macro="" textlink="">
      <xdr:nvSpPr>
        <xdr:cNvPr id="4109" name="Text Box 13"/>
        <xdr:cNvSpPr txBox="1">
          <a:spLocks noChangeArrowheads="1"/>
        </xdr:cNvSpPr>
      </xdr:nvSpPr>
      <xdr:spPr bwMode="auto">
        <a:xfrm>
          <a:off x="6105525" y="4219575"/>
          <a:ext cx="2638425" cy="1228725"/>
        </a:xfrm>
        <a:prstGeom prst="rect">
          <a:avLst/>
        </a:prstGeom>
        <a:solidFill>
          <a:srgbClr val="0C2577"/>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Values are extracted from "DDR4 Spec" tab. Please confirm the numbers in that worksheet are updated prior to use.</a:t>
          </a:r>
        </a:p>
      </xdr:txBody>
    </xdr:sp>
    <xdr:clientData/>
  </xdr:twoCellAnchor>
  <xdr:twoCellAnchor editAs="oneCell">
    <xdr:from>
      <xdr:col>1</xdr:col>
      <xdr:colOff>133350</xdr:colOff>
      <xdr:row>1</xdr:row>
      <xdr:rowOff>28575</xdr:rowOff>
    </xdr:from>
    <xdr:to>
      <xdr:col>2</xdr:col>
      <xdr:colOff>1076325</xdr:colOff>
      <xdr:row>2</xdr:row>
      <xdr:rowOff>123825</xdr:rowOff>
    </xdr:to>
    <xdr:pic>
      <xdr:nvPicPr>
        <xdr:cNvPr id="5111"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133350" y="85725"/>
          <a:ext cx="1676400" cy="457200"/>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114300</xdr:colOff>
      <xdr:row>0</xdr:row>
      <xdr:rowOff>0</xdr:rowOff>
    </xdr:from>
    <xdr:to>
      <xdr:col>15</xdr:col>
      <xdr:colOff>371475</xdr:colOff>
      <xdr:row>2</xdr:row>
      <xdr:rowOff>133350</xdr:rowOff>
    </xdr:to>
    <xdr:pic>
      <xdr:nvPicPr>
        <xdr:cNvPr id="5480"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10909300" y="0"/>
          <a:ext cx="1676400" cy="463550"/>
        </a:xfrm>
        <a:prstGeom prst="rect">
          <a:avLst/>
        </a:prstGeom>
        <a:noFill/>
        <a:ln w="1">
          <a:noFill/>
          <a:miter lim="800000"/>
          <a:headEnd/>
          <a:tailEnd/>
        </a:ln>
      </xdr:spPr>
    </xdr:pic>
    <xdr:clientData/>
  </xdr:twoCellAnchor>
  <xdr:twoCellAnchor editAs="oneCell">
    <xdr:from>
      <xdr:col>6</xdr:col>
      <xdr:colOff>152400</xdr:colOff>
      <xdr:row>1</xdr:row>
      <xdr:rowOff>66675</xdr:rowOff>
    </xdr:from>
    <xdr:to>
      <xdr:col>7</xdr:col>
      <xdr:colOff>800100</xdr:colOff>
      <xdr:row>3</xdr:row>
      <xdr:rowOff>180975</xdr:rowOff>
    </xdr:to>
    <xdr:pic>
      <xdr:nvPicPr>
        <xdr:cNvPr id="8" name="Picture 392"/>
        <xdr:cNvPicPr>
          <a:picLocks noChangeAspect="1" noChangeArrowheads="1"/>
        </xdr:cNvPicPr>
      </xdr:nvPicPr>
      <xdr:blipFill>
        <a:blip xmlns:r="http://schemas.openxmlformats.org/officeDocument/2006/relationships" r:embed="rId2" cstate="print"/>
        <a:srcRect/>
        <a:stretch>
          <a:fillRect/>
        </a:stretch>
      </xdr:blipFill>
      <xdr:spPr bwMode="auto">
        <a:xfrm>
          <a:off x="152400" y="228600"/>
          <a:ext cx="1676400" cy="447675"/>
        </a:xfrm>
        <a:prstGeom prst="rect">
          <a:avLst/>
        </a:prstGeom>
        <a:noFill/>
        <a:ln w="1">
          <a:noFill/>
          <a:miter lim="800000"/>
          <a:headEnd/>
          <a:tailEnd/>
        </a:ln>
      </xdr:spPr>
    </xdr:pic>
    <xdr:clientData/>
  </xdr:twoCellAnchor>
  <xdr:twoCellAnchor editAs="oneCell">
    <xdr:from>
      <xdr:col>12</xdr:col>
      <xdr:colOff>114300</xdr:colOff>
      <xdr:row>0</xdr:row>
      <xdr:rowOff>0</xdr:rowOff>
    </xdr:from>
    <xdr:to>
      <xdr:col>15</xdr:col>
      <xdr:colOff>371475</xdr:colOff>
      <xdr:row>2</xdr:row>
      <xdr:rowOff>133350</xdr:rowOff>
    </xdr:to>
    <xdr:pic>
      <xdr:nvPicPr>
        <xdr:cNvPr id="9"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8829675" y="0"/>
          <a:ext cx="1676400" cy="457200"/>
        </a:xfrm>
        <a:prstGeom prst="rect">
          <a:avLst/>
        </a:prstGeom>
        <a:noFill/>
        <a:ln w="1">
          <a:noFill/>
          <a:miter lim="800000"/>
          <a:headEnd/>
          <a:tailEnd/>
        </a:ln>
      </xdr:spPr>
    </xdr:pic>
    <xdr:clientData/>
  </xdr:twoCellAnchor>
  <xdr:twoCellAnchor editAs="oneCell">
    <xdr:from>
      <xdr:col>20</xdr:col>
      <xdr:colOff>247648</xdr:colOff>
      <xdr:row>4</xdr:row>
      <xdr:rowOff>147770</xdr:rowOff>
    </xdr:from>
    <xdr:to>
      <xdr:col>27</xdr:col>
      <xdr:colOff>57685</xdr:colOff>
      <xdr:row>11</xdr:row>
      <xdr:rowOff>276231</xdr:rowOff>
    </xdr:to>
    <xdr:pic>
      <xdr:nvPicPr>
        <xdr:cNvPr id="6145" name="Picture 1"/>
        <xdr:cNvPicPr>
          <a:picLocks noChangeAspect="1" noChangeArrowheads="1"/>
        </xdr:cNvPicPr>
      </xdr:nvPicPr>
      <xdr:blipFill>
        <a:blip xmlns:r="http://schemas.openxmlformats.org/officeDocument/2006/relationships" r:embed="rId3" cstate="print"/>
        <a:srcRect/>
        <a:stretch>
          <a:fillRect/>
        </a:stretch>
      </xdr:blipFill>
      <xdr:spPr bwMode="auto">
        <a:xfrm>
          <a:off x="13344523" y="919295"/>
          <a:ext cx="4115337" cy="1547686"/>
        </a:xfrm>
        <a:prstGeom prst="rect">
          <a:avLst/>
        </a:prstGeom>
        <a:noFill/>
        <a:ln w="1">
          <a:noFill/>
          <a:miter lim="800000"/>
          <a:headEnd/>
          <a:tailEnd type="none" w="med" len="med"/>
        </a:ln>
        <a:effectLst/>
      </xdr:spPr>
    </xdr:pic>
    <xdr:clientData/>
  </xdr:twoCellAnchor>
  <xdr:twoCellAnchor editAs="oneCell">
    <xdr:from>
      <xdr:col>12</xdr:col>
      <xdr:colOff>228599</xdr:colOff>
      <xdr:row>4</xdr:row>
      <xdr:rowOff>192663</xdr:rowOff>
    </xdr:from>
    <xdr:to>
      <xdr:col>19</xdr:col>
      <xdr:colOff>123825</xdr:colOff>
      <xdr:row>11</xdr:row>
      <xdr:rowOff>300114</xdr:rowOff>
    </xdr:to>
    <xdr:pic>
      <xdr:nvPicPr>
        <xdr:cNvPr id="6146" name="Picture 2"/>
        <xdr:cNvPicPr>
          <a:picLocks noChangeAspect="1" noChangeArrowheads="1"/>
        </xdr:cNvPicPr>
      </xdr:nvPicPr>
      <xdr:blipFill>
        <a:blip xmlns:r="http://schemas.openxmlformats.org/officeDocument/2006/relationships" r:embed="rId4" cstate="print"/>
        <a:srcRect/>
        <a:stretch>
          <a:fillRect/>
        </a:stretch>
      </xdr:blipFill>
      <xdr:spPr bwMode="auto">
        <a:xfrm>
          <a:off x="8762999" y="964188"/>
          <a:ext cx="3962401" cy="1526676"/>
        </a:xfrm>
        <a:prstGeom prst="rect">
          <a:avLst/>
        </a:prstGeom>
        <a:noFill/>
        <a:ln w="1">
          <a:noFill/>
          <a:miter lim="800000"/>
          <a:headEnd/>
          <a:tailEnd type="none" w="med" len="med"/>
        </a:ln>
        <a:effec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133350</xdr:colOff>
      <xdr:row>0</xdr:row>
      <xdr:rowOff>28575</xdr:rowOff>
    </xdr:from>
    <xdr:to>
      <xdr:col>16</xdr:col>
      <xdr:colOff>342900</xdr:colOff>
      <xdr:row>3</xdr:row>
      <xdr:rowOff>95250</xdr:rowOff>
    </xdr:to>
    <xdr:pic>
      <xdr:nvPicPr>
        <xdr:cNvPr id="1229"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639050" y="28575"/>
          <a:ext cx="1847850" cy="504825"/>
        </a:xfrm>
        <a:prstGeom prst="rect">
          <a:avLst/>
        </a:prstGeom>
        <a:noFill/>
        <a:ln w="1">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238125</xdr:colOff>
      <xdr:row>7</xdr:row>
      <xdr:rowOff>123825</xdr:rowOff>
    </xdr:from>
    <xdr:to>
      <xdr:col>14</xdr:col>
      <xdr:colOff>485775</xdr:colOff>
      <xdr:row>25</xdr:row>
      <xdr:rowOff>76200</xdr:rowOff>
    </xdr:to>
    <xdr:graphicFrame macro="">
      <xdr:nvGraphicFramePr>
        <xdr:cNvPr id="265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142875</xdr:colOff>
      <xdr:row>24</xdr:row>
      <xdr:rowOff>161924</xdr:rowOff>
    </xdr:from>
    <xdr:to>
      <xdr:col>14</xdr:col>
      <xdr:colOff>352425</xdr:colOff>
      <xdr:row>59</xdr:row>
      <xdr:rowOff>0</xdr:rowOff>
    </xdr:to>
    <xdr:graphicFrame macro="">
      <xdr:nvGraphicFramePr>
        <xdr:cNvPr id="2652"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209550</xdr:colOff>
      <xdr:row>0</xdr:row>
      <xdr:rowOff>85725</xdr:rowOff>
    </xdr:from>
    <xdr:to>
      <xdr:col>8</xdr:col>
      <xdr:colOff>114300</xdr:colOff>
      <xdr:row>3</xdr:row>
      <xdr:rowOff>57150</xdr:rowOff>
    </xdr:to>
    <xdr:pic>
      <xdr:nvPicPr>
        <xdr:cNvPr id="2653" name="Picture 392"/>
        <xdr:cNvPicPr>
          <a:picLocks noChangeAspect="1" noChangeArrowheads="1"/>
        </xdr:cNvPicPr>
      </xdr:nvPicPr>
      <xdr:blipFill>
        <a:blip xmlns:r="http://schemas.openxmlformats.org/officeDocument/2006/relationships" r:embed="rId3" cstate="print"/>
        <a:srcRect/>
        <a:stretch>
          <a:fillRect/>
        </a:stretch>
      </xdr:blipFill>
      <xdr:spPr bwMode="auto">
        <a:xfrm>
          <a:off x="4048125" y="85725"/>
          <a:ext cx="1676400" cy="457200"/>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dramsupport@micron.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pageSetUpPr fitToPage="1"/>
  </sheetPr>
  <dimension ref="A1:D23"/>
  <sheetViews>
    <sheetView showGridLines="0" workbookViewId="0"/>
  </sheetViews>
  <sheetFormatPr defaultColWidth="8.85546875" defaultRowHeight="12.75"/>
  <cols>
    <col min="1" max="1" width="3.140625" customWidth="1"/>
    <col min="2" max="2" width="15.140625" customWidth="1"/>
    <col min="3" max="3" width="3.7109375" customWidth="1"/>
    <col min="4" max="4" width="59.42578125" customWidth="1"/>
    <col min="16" max="17" width="8.85546875" customWidth="1"/>
  </cols>
  <sheetData>
    <row r="1" spans="1:4" ht="13.5" thickBot="1">
      <c r="A1" s="27"/>
    </row>
    <row r="2" spans="1:4">
      <c r="B2" s="9" t="s">
        <v>32</v>
      </c>
      <c r="C2" s="10" t="s">
        <v>41</v>
      </c>
      <c r="D2" s="11" t="s">
        <v>244</v>
      </c>
    </row>
    <row r="3" spans="1:4">
      <c r="B3" s="12" t="s">
        <v>33</v>
      </c>
      <c r="C3" s="13" t="s">
        <v>41</v>
      </c>
      <c r="D3" s="271">
        <v>3.5</v>
      </c>
    </row>
    <row r="4" spans="1:4">
      <c r="B4" s="12" t="s">
        <v>34</v>
      </c>
      <c r="C4" s="13" t="s">
        <v>41</v>
      </c>
      <c r="D4" s="14">
        <v>42956</v>
      </c>
    </row>
    <row r="5" spans="1:4">
      <c r="B5" s="12" t="s">
        <v>339</v>
      </c>
      <c r="C5" s="13" t="s">
        <v>41</v>
      </c>
      <c r="D5" s="15" t="s">
        <v>395</v>
      </c>
    </row>
    <row r="6" spans="1:4">
      <c r="B6" s="12" t="s">
        <v>36</v>
      </c>
      <c r="C6" s="13" t="s">
        <v>41</v>
      </c>
      <c r="D6" s="119" t="s">
        <v>169</v>
      </c>
    </row>
    <row r="7" spans="1:4">
      <c r="B7" s="12" t="s">
        <v>35</v>
      </c>
      <c r="C7" s="13" t="s">
        <v>41</v>
      </c>
      <c r="D7" s="15" t="s">
        <v>40</v>
      </c>
    </row>
    <row r="8" spans="1:4">
      <c r="B8" s="12"/>
      <c r="C8" s="13"/>
      <c r="D8" s="15"/>
    </row>
    <row r="9" spans="1:4" ht="25.5">
      <c r="B9" s="12" t="s">
        <v>37</v>
      </c>
      <c r="C9" s="13" t="s">
        <v>41</v>
      </c>
      <c r="D9" s="15" t="s">
        <v>257</v>
      </c>
    </row>
    <row r="10" spans="1:4">
      <c r="B10" s="12"/>
      <c r="C10" s="13"/>
      <c r="D10" s="15"/>
    </row>
    <row r="11" spans="1:4">
      <c r="B11" s="12" t="s">
        <v>52</v>
      </c>
      <c r="C11" s="13" t="s">
        <v>41</v>
      </c>
      <c r="D11" s="246"/>
    </row>
    <row r="12" spans="1:4">
      <c r="B12" s="12"/>
      <c r="C12" s="13"/>
      <c r="D12" s="15"/>
    </row>
    <row r="13" spans="1:4">
      <c r="B13" s="12" t="s">
        <v>38</v>
      </c>
      <c r="C13" s="13" t="s">
        <v>41</v>
      </c>
      <c r="D13" s="15" t="s">
        <v>338</v>
      </c>
    </row>
    <row r="14" spans="1:4">
      <c r="B14" s="12"/>
      <c r="C14" s="13"/>
      <c r="D14" s="15"/>
    </row>
    <row r="15" spans="1:4" ht="140.25">
      <c r="B15" s="12" t="s">
        <v>39</v>
      </c>
      <c r="C15" s="13" t="s">
        <v>41</v>
      </c>
      <c r="D15" s="15" t="s">
        <v>23</v>
      </c>
    </row>
    <row r="16" spans="1:4" ht="25.5">
      <c r="B16" s="12"/>
      <c r="C16" s="13"/>
      <c r="D16" s="15" t="s">
        <v>24</v>
      </c>
    </row>
    <row r="17" spans="1:4">
      <c r="B17" s="12"/>
      <c r="C17" s="13"/>
      <c r="D17" s="15"/>
    </row>
    <row r="18" spans="1:4">
      <c r="B18" s="12"/>
      <c r="C18" s="13"/>
      <c r="D18" s="15" t="s">
        <v>399</v>
      </c>
    </row>
    <row r="19" spans="1:4">
      <c r="B19" s="12"/>
      <c r="C19" s="13"/>
      <c r="D19" s="15" t="s">
        <v>245</v>
      </c>
    </row>
    <row r="20" spans="1:4" ht="13.5" thickBot="1">
      <c r="B20" s="16"/>
      <c r="C20" s="21"/>
      <c r="D20" s="17" t="s">
        <v>121</v>
      </c>
    </row>
    <row r="23" spans="1:4">
      <c r="A23" s="27"/>
    </row>
  </sheetData>
  <phoneticPr fontId="0" type="noConversion"/>
  <hyperlinks>
    <hyperlink ref="D6" r:id="rId1"/>
  </hyperlinks>
  <printOptions horizontalCentered="1" verticalCentered="1"/>
  <pageMargins left="0.25" right="0.25" top="0.25" bottom="0.25" header="0.5" footer="0.5"/>
  <pageSetup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sheetPr>
    <pageSetUpPr fitToPage="1"/>
  </sheetPr>
  <dimension ref="A1:F67"/>
  <sheetViews>
    <sheetView tabSelected="1" workbookViewId="0"/>
  </sheetViews>
  <sheetFormatPr defaultRowHeight="12.75"/>
  <cols>
    <col min="1" max="1" width="3.28515625" style="22" customWidth="1"/>
    <col min="2" max="2" width="5.42578125" style="22" customWidth="1"/>
    <col min="3" max="3" width="117" style="22" customWidth="1"/>
    <col min="4" max="4" width="4.42578125" style="22" customWidth="1"/>
    <col min="5" max="16384" width="9.140625" style="22"/>
  </cols>
  <sheetData>
    <row r="1" spans="1:3">
      <c r="A1" s="27"/>
      <c r="C1" s="27"/>
    </row>
    <row r="4" spans="1:3" ht="21.95" customHeight="1">
      <c r="A4" s="54" t="s">
        <v>122</v>
      </c>
      <c r="B4" s="39"/>
      <c r="C4" s="40"/>
    </row>
    <row r="5" spans="1:3" ht="15.75">
      <c r="B5" s="24" t="s">
        <v>246</v>
      </c>
    </row>
    <row r="6" spans="1:3" ht="15.75">
      <c r="B6" s="24"/>
      <c r="C6" s="22" t="s">
        <v>89</v>
      </c>
    </row>
    <row r="7" spans="1:3" s="25" customFormat="1">
      <c r="C7" s="23" t="s">
        <v>273</v>
      </c>
    </row>
    <row r="8" spans="1:3" s="25" customFormat="1">
      <c r="C8" s="23" t="s">
        <v>274</v>
      </c>
    </row>
    <row r="9" spans="1:3" s="25" customFormat="1" ht="25.5">
      <c r="C9" s="23" t="s">
        <v>350</v>
      </c>
    </row>
    <row r="10" spans="1:3" s="25" customFormat="1">
      <c r="C10" s="23" t="s">
        <v>352</v>
      </c>
    </row>
    <row r="11" spans="1:3" s="25" customFormat="1">
      <c r="C11" s="23" t="s">
        <v>396</v>
      </c>
    </row>
    <row r="12" spans="1:3" s="25" customFormat="1">
      <c r="C12" s="23" t="s">
        <v>397</v>
      </c>
    </row>
    <row r="13" spans="1:3" s="25" customFormat="1">
      <c r="C13" s="23" t="s">
        <v>356</v>
      </c>
    </row>
    <row r="14" spans="1:3" s="25" customFormat="1">
      <c r="C14" s="23" t="s">
        <v>357</v>
      </c>
    </row>
    <row r="15" spans="1:3" s="25" customFormat="1" ht="12.75" customHeight="1">
      <c r="C15" s="23" t="s">
        <v>358</v>
      </c>
    </row>
    <row r="16" spans="1:3" s="25" customFormat="1" ht="25.5">
      <c r="C16" s="23" t="s">
        <v>351</v>
      </c>
    </row>
    <row r="17" spans="2:6" s="25" customFormat="1">
      <c r="C17" s="23"/>
    </row>
    <row r="18" spans="2:6" s="25" customFormat="1" ht="15.75">
      <c r="B18" s="24" t="s">
        <v>275</v>
      </c>
    </row>
    <row r="19" spans="2:6" s="25" customFormat="1" ht="15.75" customHeight="1">
      <c r="C19" s="23" t="s">
        <v>189</v>
      </c>
    </row>
    <row r="20" spans="2:6" s="25" customFormat="1" ht="15.75" customHeight="1">
      <c r="C20" s="23" t="s">
        <v>276</v>
      </c>
    </row>
    <row r="21" spans="2:6" s="25" customFormat="1" ht="15.75" customHeight="1">
      <c r="C21" s="23" t="s">
        <v>277</v>
      </c>
    </row>
    <row r="22" spans="2:6" s="25" customFormat="1" ht="15.75" customHeight="1">
      <c r="C22" s="23" t="s">
        <v>278</v>
      </c>
    </row>
    <row r="23" spans="2:6" s="25" customFormat="1" ht="15.75" customHeight="1">
      <c r="C23" s="23" t="s">
        <v>318</v>
      </c>
    </row>
    <row r="24" spans="2:6">
      <c r="C24" s="23"/>
    </row>
    <row r="25" spans="2:6" ht="15.75">
      <c r="B25" s="24" t="s">
        <v>319</v>
      </c>
      <c r="C25" s="23"/>
    </row>
    <row r="26" spans="2:6" s="25" customFormat="1">
      <c r="C26" s="23" t="s">
        <v>188</v>
      </c>
    </row>
    <row r="27" spans="2:6" s="25" customFormat="1">
      <c r="C27" s="23" t="s">
        <v>279</v>
      </c>
    </row>
    <row r="28" spans="2:6" s="25" customFormat="1" ht="25.5">
      <c r="C28" s="23" t="s">
        <v>354</v>
      </c>
    </row>
    <row r="29" spans="2:6" s="25" customFormat="1" ht="18" customHeight="1">
      <c r="C29" s="23" t="s">
        <v>280</v>
      </c>
    </row>
    <row r="30" spans="2:6" s="25" customFormat="1" ht="18" customHeight="1">
      <c r="C30" s="23" t="s">
        <v>285</v>
      </c>
      <c r="F30" s="25" t="s">
        <v>191</v>
      </c>
    </row>
    <row r="31" spans="2:6" s="25" customFormat="1" ht="18" customHeight="1">
      <c r="C31" s="23" t="s">
        <v>286</v>
      </c>
    </row>
    <row r="32" spans="2:6" s="25" customFormat="1" ht="18" customHeight="1">
      <c r="C32" s="23" t="s">
        <v>289</v>
      </c>
    </row>
    <row r="33" spans="2:3" s="25" customFormat="1" ht="18" customHeight="1">
      <c r="C33" s="23" t="s">
        <v>290</v>
      </c>
    </row>
    <row r="34" spans="2:3" s="25" customFormat="1" ht="29.25" customHeight="1">
      <c r="C34" s="150" t="s">
        <v>291</v>
      </c>
    </row>
    <row r="35" spans="2:3" s="25" customFormat="1" ht="16.5" customHeight="1">
      <c r="C35" s="23" t="s">
        <v>281</v>
      </c>
    </row>
    <row r="36" spans="2:3" s="25" customFormat="1" ht="30.75" customHeight="1">
      <c r="C36" s="23" t="s">
        <v>292</v>
      </c>
    </row>
    <row r="37" spans="2:3" s="25" customFormat="1" ht="30.75" customHeight="1">
      <c r="C37" s="23" t="s">
        <v>282</v>
      </c>
    </row>
    <row r="38" spans="2:3" s="25" customFormat="1" ht="30.75" customHeight="1">
      <c r="C38" s="23" t="s">
        <v>293</v>
      </c>
    </row>
    <row r="39" spans="2:3" s="25" customFormat="1" ht="18" customHeight="1">
      <c r="C39" s="23" t="s">
        <v>296</v>
      </c>
    </row>
    <row r="40" spans="2:3" s="25" customFormat="1" ht="30.75" customHeight="1">
      <c r="C40" s="23" t="s">
        <v>294</v>
      </c>
    </row>
    <row r="41" spans="2:3" s="25" customFormat="1" ht="30.75" customHeight="1">
      <c r="C41" s="23" t="s">
        <v>295</v>
      </c>
    </row>
    <row r="42" spans="2:3" s="25" customFormat="1" ht="30.75" customHeight="1">
      <c r="C42" s="23" t="s">
        <v>297</v>
      </c>
    </row>
    <row r="43" spans="2:3" s="25" customFormat="1" ht="30.75" customHeight="1">
      <c r="C43" s="23" t="s">
        <v>298</v>
      </c>
    </row>
    <row r="44" spans="2:3">
      <c r="C44" s="23" t="s">
        <v>320</v>
      </c>
    </row>
    <row r="45" spans="2:3" ht="15.75">
      <c r="B45" s="24" t="s">
        <v>5</v>
      </c>
      <c r="C45" s="23"/>
    </row>
    <row r="46" spans="2:3" ht="38.25">
      <c r="C46" s="23" t="s">
        <v>123</v>
      </c>
    </row>
    <row r="47" spans="2:3">
      <c r="C47" s="23"/>
    </row>
    <row r="48" spans="2:3" ht="15.75">
      <c r="B48" s="24" t="s">
        <v>6</v>
      </c>
      <c r="C48" s="23"/>
    </row>
    <row r="49" spans="3:3" ht="63.75">
      <c r="C49" s="23" t="s">
        <v>190</v>
      </c>
    </row>
    <row r="50" spans="3:3">
      <c r="C50" s="23"/>
    </row>
    <row r="51" spans="3:3">
      <c r="C51" s="23"/>
    </row>
    <row r="52" spans="3:3">
      <c r="C52" s="23"/>
    </row>
    <row r="53" spans="3:3">
      <c r="C53" s="23"/>
    </row>
    <row r="54" spans="3:3">
      <c r="C54" s="23"/>
    </row>
    <row r="55" spans="3:3">
      <c r="C55" s="23"/>
    </row>
    <row r="56" spans="3:3">
      <c r="C56" s="23"/>
    </row>
    <row r="57" spans="3:3">
      <c r="C57" s="23"/>
    </row>
    <row r="58" spans="3:3">
      <c r="C58" s="23"/>
    </row>
    <row r="59" spans="3:3">
      <c r="C59" s="23"/>
    </row>
    <row r="60" spans="3:3">
      <c r="C60" s="23"/>
    </row>
    <row r="61" spans="3:3">
      <c r="C61" s="23"/>
    </row>
    <row r="62" spans="3:3">
      <c r="C62" s="23"/>
    </row>
    <row r="63" spans="3:3">
      <c r="C63" s="23"/>
    </row>
    <row r="64" spans="3:3">
      <c r="C64" s="23"/>
    </row>
    <row r="65" spans="3:3">
      <c r="C65" s="23"/>
    </row>
    <row r="66" spans="3:3">
      <c r="C66" s="23"/>
    </row>
    <row r="67" spans="3:3">
      <c r="C67" s="23"/>
    </row>
  </sheetData>
  <phoneticPr fontId="0" type="noConversion"/>
  <printOptions horizontalCentered="1"/>
  <pageMargins left="0.5" right="0.5" top="1" bottom="0.25" header="0.5" footer="0.5"/>
  <pageSetup scale="7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sheetPr>
    <pageSetUpPr fitToPage="1"/>
  </sheetPr>
  <dimension ref="B1:CJ269"/>
  <sheetViews>
    <sheetView showGridLines="0" workbookViewId="0">
      <selection activeCell="Y62" sqref="Y62"/>
    </sheetView>
  </sheetViews>
  <sheetFormatPr defaultColWidth="8.85546875" defaultRowHeight="12.75"/>
  <cols>
    <col min="1" max="1" width="1.28515625" customWidth="1"/>
    <col min="2" max="2" width="11.85546875" customWidth="1"/>
    <col min="3" max="3" width="40.140625" style="32" customWidth="1"/>
    <col min="4" max="4" width="6.42578125" style="4" customWidth="1"/>
    <col min="5" max="5" width="6.85546875" style="4" customWidth="1"/>
    <col min="6" max="14" width="6.85546875" style="33" customWidth="1"/>
    <col min="15" max="15" width="5.85546875" style="33" customWidth="1"/>
    <col min="16" max="16" width="6.28515625" style="33" customWidth="1"/>
    <col min="17" max="25" width="6.85546875" style="33" customWidth="1"/>
    <col min="26" max="26" width="3.42578125" style="33" customWidth="1"/>
    <col min="27" max="37" width="6.85546875" style="33" customWidth="1"/>
    <col min="38" max="39" width="8.42578125" customWidth="1"/>
    <col min="40" max="77" width="8.42578125" style="33" customWidth="1"/>
    <col min="78" max="83" width="8.42578125" customWidth="1"/>
    <col min="84" max="88" width="8.42578125" style="33" customWidth="1"/>
    <col min="89" max="94" width="8.42578125" customWidth="1"/>
  </cols>
  <sheetData>
    <row r="1" spans="2:88" ht="3.75" customHeight="1">
      <c r="B1" s="27"/>
      <c r="C1"/>
      <c r="D1"/>
      <c r="E1"/>
      <c r="M1"/>
      <c r="N1"/>
      <c r="AK1"/>
      <c r="AN1"/>
      <c r="AO1"/>
      <c r="AP1"/>
      <c r="AQ1"/>
      <c r="AR1"/>
      <c r="AS1"/>
      <c r="AT1"/>
      <c r="AU1"/>
      <c r="AV1"/>
      <c r="AW1"/>
      <c r="AX1"/>
      <c r="AY1"/>
      <c r="AZ1"/>
      <c r="BA1"/>
      <c r="BB1"/>
      <c r="BC1"/>
      <c r="BD1"/>
      <c r="BE1"/>
      <c r="BF1"/>
      <c r="BG1"/>
      <c r="BH1"/>
      <c r="BI1"/>
      <c r="BJ1"/>
      <c r="BK1"/>
      <c r="BL1"/>
      <c r="BM1"/>
      <c r="BN1"/>
      <c r="BO1"/>
      <c r="BP1"/>
      <c r="BQ1"/>
      <c r="BR1"/>
      <c r="BS1"/>
      <c r="BT1"/>
      <c r="BU1"/>
      <c r="BV1"/>
      <c r="BW1"/>
      <c r="BX1"/>
      <c r="BY1"/>
      <c r="CF1"/>
      <c r="CG1"/>
      <c r="CH1"/>
      <c r="CI1"/>
      <c r="CJ1"/>
    </row>
    <row r="2" spans="2:88" ht="6.75" customHeight="1">
      <c r="C2"/>
      <c r="D2" s="33"/>
      <c r="E2" s="33"/>
      <c r="AK2"/>
      <c r="AN2"/>
      <c r="AO2"/>
      <c r="AP2"/>
      <c r="AQ2"/>
      <c r="AR2"/>
      <c r="AS2"/>
      <c r="AT2"/>
      <c r="AU2"/>
      <c r="AV2"/>
      <c r="AW2"/>
      <c r="AX2"/>
      <c r="AY2"/>
      <c r="AZ2"/>
      <c r="BA2"/>
      <c r="BB2"/>
      <c r="BC2"/>
      <c r="BD2"/>
      <c r="BE2"/>
      <c r="BF2"/>
      <c r="BG2"/>
      <c r="BH2"/>
      <c r="BI2"/>
      <c r="BJ2"/>
      <c r="BK2"/>
      <c r="BL2"/>
      <c r="BM2"/>
      <c r="BN2"/>
      <c r="BO2"/>
      <c r="BP2"/>
      <c r="BQ2"/>
      <c r="BR2"/>
      <c r="BS2"/>
      <c r="BT2"/>
      <c r="BU2"/>
      <c r="BV2"/>
      <c r="BW2"/>
      <c r="BX2"/>
      <c r="BY2"/>
      <c r="CF2"/>
      <c r="CG2"/>
      <c r="CH2"/>
      <c r="CI2"/>
      <c r="CJ2"/>
    </row>
    <row r="3" spans="2:88" ht="22.5" customHeight="1">
      <c r="C3"/>
      <c r="D3" s="33"/>
      <c r="E3" s="33"/>
      <c r="Q3" s="33" t="s">
        <v>191</v>
      </c>
      <c r="R3" s="33" t="s">
        <v>191</v>
      </c>
      <c r="AK3"/>
      <c r="AN3"/>
      <c r="AO3"/>
      <c r="AP3"/>
      <c r="AQ3"/>
      <c r="AR3"/>
      <c r="AS3"/>
      <c r="AT3"/>
      <c r="AU3"/>
      <c r="AV3"/>
      <c r="AW3"/>
      <c r="AX3"/>
      <c r="AY3"/>
      <c r="AZ3"/>
      <c r="BA3"/>
      <c r="BB3"/>
      <c r="BC3"/>
      <c r="BD3"/>
      <c r="BE3"/>
      <c r="BF3"/>
      <c r="BG3"/>
      <c r="BH3"/>
      <c r="BI3"/>
      <c r="BJ3"/>
      <c r="BK3"/>
      <c r="BL3"/>
      <c r="BM3"/>
      <c r="BN3"/>
      <c r="BO3"/>
      <c r="BP3"/>
      <c r="BQ3"/>
      <c r="BR3"/>
      <c r="BS3"/>
      <c r="BT3"/>
      <c r="BU3"/>
      <c r="BV3"/>
      <c r="BW3"/>
      <c r="BX3"/>
      <c r="BY3"/>
      <c r="CF3"/>
      <c r="CG3"/>
      <c r="CH3"/>
      <c r="CI3"/>
      <c r="CJ3"/>
    </row>
    <row r="4" spans="2:88" ht="17.100000000000001" customHeight="1">
      <c r="B4" s="46"/>
      <c r="C4" s="47"/>
      <c r="D4" s="46"/>
      <c r="E4" s="390" t="s">
        <v>170</v>
      </c>
      <c r="F4" s="390"/>
      <c r="G4" s="390"/>
      <c r="H4" s="390"/>
      <c r="I4" s="390"/>
      <c r="J4" s="390"/>
      <c r="K4" s="390"/>
      <c r="L4" s="390"/>
      <c r="M4" s="390"/>
      <c r="N4" s="390"/>
      <c r="O4" s="48"/>
      <c r="P4" s="390" t="s">
        <v>230</v>
      </c>
      <c r="Q4" s="390"/>
      <c r="R4" s="390"/>
      <c r="S4" s="390"/>
      <c r="T4" s="390"/>
      <c r="U4" s="390"/>
      <c r="V4" s="390"/>
      <c r="W4" s="390"/>
      <c r="X4" s="390"/>
      <c r="Y4" s="390"/>
      <c r="Z4" s="48"/>
      <c r="AA4" s="390" t="s">
        <v>231</v>
      </c>
      <c r="AB4" s="390"/>
      <c r="AC4" s="390"/>
      <c r="AD4" s="390"/>
      <c r="AE4" s="390"/>
      <c r="AF4" s="390"/>
      <c r="AG4" s="390"/>
      <c r="AH4" s="390"/>
      <c r="AI4" s="390"/>
      <c r="AJ4" s="390"/>
      <c r="AK4" s="41"/>
      <c r="AN4"/>
      <c r="AO4"/>
      <c r="AP4"/>
      <c r="AQ4"/>
      <c r="AR4"/>
      <c r="AS4"/>
      <c r="AT4"/>
      <c r="AU4"/>
      <c r="AV4"/>
      <c r="AW4"/>
      <c r="AX4"/>
      <c r="AY4"/>
      <c r="AZ4"/>
      <c r="BA4"/>
      <c r="BB4"/>
      <c r="BC4"/>
      <c r="BD4"/>
      <c r="BE4"/>
      <c r="BF4"/>
      <c r="BG4"/>
      <c r="BH4"/>
      <c r="BI4"/>
      <c r="BJ4"/>
      <c r="BK4"/>
      <c r="BL4"/>
      <c r="BM4"/>
      <c r="BN4"/>
      <c r="BO4"/>
      <c r="BP4"/>
      <c r="BQ4"/>
      <c r="BR4"/>
      <c r="BS4"/>
      <c r="BT4"/>
      <c r="BU4"/>
      <c r="BV4"/>
      <c r="BW4"/>
      <c r="BX4"/>
      <c r="BY4"/>
      <c r="CF4"/>
      <c r="CG4"/>
      <c r="CH4"/>
      <c r="CI4"/>
      <c r="CJ4"/>
    </row>
    <row r="5" spans="2:88" ht="15">
      <c r="B5" s="391"/>
      <c r="C5" s="392"/>
      <c r="D5" s="393"/>
      <c r="E5" s="71">
        <v>1866</v>
      </c>
      <c r="F5" s="71">
        <v>2133</v>
      </c>
      <c r="G5" s="71">
        <v>2133</v>
      </c>
      <c r="H5" s="71">
        <v>2400</v>
      </c>
      <c r="I5" s="71">
        <v>2400</v>
      </c>
      <c r="J5" s="71">
        <v>2666</v>
      </c>
      <c r="K5" s="71">
        <v>2666</v>
      </c>
      <c r="L5" s="71">
        <v>2933</v>
      </c>
      <c r="M5" s="71">
        <v>2933</v>
      </c>
      <c r="N5" s="71">
        <v>3200</v>
      </c>
      <c r="O5" s="77"/>
      <c r="P5" s="71">
        <v>1866</v>
      </c>
      <c r="Q5" s="71">
        <v>2133</v>
      </c>
      <c r="R5" s="71">
        <v>2133</v>
      </c>
      <c r="S5" s="71">
        <v>2400</v>
      </c>
      <c r="T5" s="71">
        <v>2400</v>
      </c>
      <c r="U5" s="71">
        <v>2666</v>
      </c>
      <c r="V5" s="71">
        <v>2666</v>
      </c>
      <c r="W5" s="71">
        <v>2933</v>
      </c>
      <c r="X5" s="71">
        <v>2933</v>
      </c>
      <c r="Y5" s="71">
        <v>3200</v>
      </c>
      <c r="Z5" s="77"/>
      <c r="AA5" s="71">
        <v>1866</v>
      </c>
      <c r="AB5" s="71">
        <v>2133</v>
      </c>
      <c r="AC5" s="71">
        <v>2133</v>
      </c>
      <c r="AD5" s="71">
        <v>2400</v>
      </c>
      <c r="AE5" s="71">
        <v>2400</v>
      </c>
      <c r="AF5" s="71">
        <v>2666</v>
      </c>
      <c r="AG5" s="71">
        <v>2666</v>
      </c>
      <c r="AH5" s="71">
        <v>2933</v>
      </c>
      <c r="AI5" s="71">
        <v>2933</v>
      </c>
      <c r="AJ5" s="71">
        <v>3200</v>
      </c>
      <c r="AK5" s="45"/>
      <c r="AN5"/>
      <c r="AO5"/>
      <c r="AP5"/>
      <c r="AQ5"/>
      <c r="AR5"/>
      <c r="AS5"/>
      <c r="AT5"/>
      <c r="AU5"/>
      <c r="AV5"/>
      <c r="AW5"/>
      <c r="AX5"/>
      <c r="AY5"/>
      <c r="AZ5"/>
      <c r="BA5"/>
      <c r="BB5"/>
      <c r="BC5"/>
      <c r="BD5"/>
      <c r="BE5"/>
      <c r="BF5"/>
      <c r="BG5"/>
      <c r="BH5"/>
      <c r="BI5"/>
      <c r="BJ5"/>
      <c r="BK5"/>
      <c r="BL5"/>
      <c r="BM5"/>
      <c r="BN5"/>
      <c r="BO5"/>
      <c r="BP5"/>
      <c r="BQ5"/>
      <c r="BR5"/>
      <c r="BS5"/>
      <c r="BT5"/>
      <c r="BU5"/>
      <c r="BV5"/>
      <c r="BW5"/>
      <c r="BX5"/>
      <c r="BY5"/>
      <c r="CF5"/>
      <c r="CG5"/>
      <c r="CH5"/>
      <c r="CI5"/>
      <c r="CJ5"/>
    </row>
    <row r="6" spans="2:88" ht="17.100000000000001" customHeight="1">
      <c r="B6" s="69" t="s">
        <v>46</v>
      </c>
      <c r="C6" s="70" t="s">
        <v>47</v>
      </c>
      <c r="D6" s="69" t="s">
        <v>47</v>
      </c>
      <c r="E6" s="71" t="s">
        <v>192</v>
      </c>
      <c r="F6" s="71" t="s">
        <v>193</v>
      </c>
      <c r="G6" s="71" t="s">
        <v>194</v>
      </c>
      <c r="H6" s="71" t="s">
        <v>232</v>
      </c>
      <c r="I6" s="71" t="s">
        <v>233</v>
      </c>
      <c r="J6" s="71" t="s">
        <v>234</v>
      </c>
      <c r="K6" s="71" t="s">
        <v>235</v>
      </c>
      <c r="L6" s="71" t="s">
        <v>340</v>
      </c>
      <c r="M6" s="71" t="s">
        <v>341</v>
      </c>
      <c r="N6" s="71" t="s">
        <v>337</v>
      </c>
      <c r="O6" s="72"/>
      <c r="P6" s="71" t="s">
        <v>192</v>
      </c>
      <c r="Q6" s="71" t="s">
        <v>193</v>
      </c>
      <c r="R6" s="71" t="s">
        <v>194</v>
      </c>
      <c r="S6" s="71" t="s">
        <v>232</v>
      </c>
      <c r="T6" s="71" t="s">
        <v>233</v>
      </c>
      <c r="U6" s="71" t="s">
        <v>234</v>
      </c>
      <c r="V6" s="71" t="s">
        <v>235</v>
      </c>
      <c r="W6" s="71" t="s">
        <v>340</v>
      </c>
      <c r="X6" s="71" t="s">
        <v>341</v>
      </c>
      <c r="Y6" s="71" t="s">
        <v>337</v>
      </c>
      <c r="Z6" s="72"/>
      <c r="AA6" s="71" t="s">
        <v>192</v>
      </c>
      <c r="AB6" s="71" t="s">
        <v>193</v>
      </c>
      <c r="AC6" s="71" t="s">
        <v>194</v>
      </c>
      <c r="AD6" s="71" t="s">
        <v>232</v>
      </c>
      <c r="AE6" s="71" t="s">
        <v>233</v>
      </c>
      <c r="AF6" s="71" t="s">
        <v>234</v>
      </c>
      <c r="AG6" s="71" t="s">
        <v>235</v>
      </c>
      <c r="AH6" s="71" t="s">
        <v>340</v>
      </c>
      <c r="AI6" s="71" t="s">
        <v>341</v>
      </c>
      <c r="AJ6" s="71" t="s">
        <v>337</v>
      </c>
      <c r="AK6" s="41"/>
      <c r="AN6"/>
      <c r="AO6"/>
      <c r="AP6"/>
      <c r="AQ6"/>
      <c r="AR6"/>
      <c r="AS6"/>
      <c r="AT6"/>
      <c r="AU6"/>
      <c r="AV6"/>
      <c r="AW6"/>
      <c r="AX6"/>
      <c r="AY6"/>
      <c r="AZ6"/>
      <c r="BA6"/>
      <c r="BB6"/>
      <c r="BC6"/>
      <c r="BD6"/>
      <c r="BE6"/>
      <c r="BF6"/>
      <c r="BG6"/>
      <c r="BH6"/>
      <c r="BI6"/>
      <c r="BJ6"/>
      <c r="BK6"/>
      <c r="BL6"/>
      <c r="BM6"/>
      <c r="BN6"/>
      <c r="BO6"/>
      <c r="BP6"/>
      <c r="BQ6"/>
      <c r="BR6"/>
      <c r="BS6"/>
      <c r="BT6"/>
      <c r="BU6"/>
      <c r="BV6"/>
      <c r="BW6"/>
      <c r="BX6"/>
      <c r="BY6"/>
      <c r="CF6"/>
      <c r="CG6"/>
      <c r="CH6"/>
      <c r="CI6"/>
      <c r="CJ6"/>
    </row>
    <row r="7" spans="2:88" ht="15">
      <c r="B7" s="59"/>
      <c r="C7" s="375" t="s">
        <v>179</v>
      </c>
      <c r="D7" s="375"/>
      <c r="E7" s="211">
        <v>1.26</v>
      </c>
      <c r="F7" s="211">
        <v>1.26</v>
      </c>
      <c r="G7" s="211">
        <v>1.26</v>
      </c>
      <c r="H7" s="211">
        <v>1.26</v>
      </c>
      <c r="I7" s="211">
        <v>1.26</v>
      </c>
      <c r="J7" s="211">
        <v>1.26</v>
      </c>
      <c r="K7" s="211">
        <v>1.26</v>
      </c>
      <c r="L7" s="211">
        <v>1.26</v>
      </c>
      <c r="M7" s="211">
        <v>1.26</v>
      </c>
      <c r="N7" s="211">
        <v>1.26</v>
      </c>
      <c r="O7" s="73"/>
      <c r="P7" s="211">
        <v>1.26</v>
      </c>
      <c r="Q7" s="211">
        <v>1.26</v>
      </c>
      <c r="R7" s="211">
        <v>1.26</v>
      </c>
      <c r="S7" s="211">
        <v>1.26</v>
      </c>
      <c r="T7" s="211">
        <v>1.26</v>
      </c>
      <c r="U7" s="211">
        <v>1.26</v>
      </c>
      <c r="V7" s="211">
        <v>1.26</v>
      </c>
      <c r="W7" s="211">
        <v>1.26</v>
      </c>
      <c r="X7" s="211">
        <v>1.26</v>
      </c>
      <c r="Y7" s="211">
        <v>1.26</v>
      </c>
      <c r="Z7" s="73"/>
      <c r="AA7" s="211">
        <v>1.26</v>
      </c>
      <c r="AB7" s="211">
        <v>1.26</v>
      </c>
      <c r="AC7" s="211">
        <v>1.26</v>
      </c>
      <c r="AD7" s="211">
        <v>1.26</v>
      </c>
      <c r="AE7" s="211">
        <v>1.26</v>
      </c>
      <c r="AF7" s="211">
        <v>1.26</v>
      </c>
      <c r="AG7" s="211">
        <v>1.26</v>
      </c>
      <c r="AH7" s="211">
        <v>1.26</v>
      </c>
      <c r="AI7" s="211">
        <v>1.26</v>
      </c>
      <c r="AJ7" s="211">
        <v>1.26</v>
      </c>
      <c r="AK7" s="44" t="s">
        <v>10</v>
      </c>
      <c r="AN7"/>
      <c r="AO7"/>
      <c r="AP7"/>
      <c r="AQ7"/>
      <c r="AR7"/>
      <c r="AS7"/>
      <c r="AT7"/>
      <c r="AU7"/>
      <c r="AV7"/>
      <c r="AW7"/>
      <c r="AX7"/>
      <c r="AY7"/>
      <c r="AZ7"/>
      <c r="BA7"/>
      <c r="BB7"/>
      <c r="BC7"/>
      <c r="BD7"/>
      <c r="BE7"/>
      <c r="BF7"/>
      <c r="BG7"/>
      <c r="BH7"/>
      <c r="BI7"/>
      <c r="BJ7"/>
      <c r="BK7"/>
      <c r="BL7"/>
      <c r="BM7"/>
      <c r="BN7"/>
      <c r="BO7"/>
      <c r="BP7"/>
      <c r="BQ7"/>
      <c r="BR7"/>
      <c r="BS7"/>
      <c r="BT7"/>
      <c r="BU7"/>
      <c r="BV7"/>
      <c r="BW7"/>
      <c r="BX7"/>
      <c r="BY7"/>
      <c r="CF7"/>
      <c r="CG7"/>
      <c r="CH7"/>
      <c r="CI7"/>
      <c r="CJ7"/>
    </row>
    <row r="8" spans="2:88" ht="15">
      <c r="B8" s="59"/>
      <c r="C8" s="375" t="s">
        <v>180</v>
      </c>
      <c r="D8" s="375"/>
      <c r="E8" s="211">
        <v>1.1399999999999999</v>
      </c>
      <c r="F8" s="211">
        <v>1.1399999999999999</v>
      </c>
      <c r="G8" s="211">
        <v>1.1399999999999999</v>
      </c>
      <c r="H8" s="211">
        <v>1.1399999999999999</v>
      </c>
      <c r="I8" s="211">
        <v>1.1399999999999999</v>
      </c>
      <c r="J8" s="211">
        <v>1.1399999999999999</v>
      </c>
      <c r="K8" s="211">
        <v>1.1399999999999999</v>
      </c>
      <c r="L8" s="211">
        <v>1.1399999999999999</v>
      </c>
      <c r="M8" s="211">
        <v>1.1399999999999999</v>
      </c>
      <c r="N8" s="211">
        <v>1.1399999999999999</v>
      </c>
      <c r="O8" s="73"/>
      <c r="P8" s="211">
        <v>1.1399999999999999</v>
      </c>
      <c r="Q8" s="211">
        <v>1.1399999999999999</v>
      </c>
      <c r="R8" s="211">
        <v>1.1399999999999999</v>
      </c>
      <c r="S8" s="211">
        <v>1.1399999999999999</v>
      </c>
      <c r="T8" s="211">
        <v>1.1399999999999999</v>
      </c>
      <c r="U8" s="211">
        <v>1.1399999999999999</v>
      </c>
      <c r="V8" s="211">
        <v>1.1399999999999999</v>
      </c>
      <c r="W8" s="211">
        <v>1.1399999999999999</v>
      </c>
      <c r="X8" s="211">
        <v>1.1399999999999999</v>
      </c>
      <c r="Y8" s="211">
        <v>1.1399999999999999</v>
      </c>
      <c r="Z8" s="73"/>
      <c r="AA8" s="211">
        <v>1.1399999999999999</v>
      </c>
      <c r="AB8" s="211">
        <v>1.1399999999999999</v>
      </c>
      <c r="AC8" s="211">
        <v>1.1399999999999999</v>
      </c>
      <c r="AD8" s="211">
        <v>1.1399999999999999</v>
      </c>
      <c r="AE8" s="211">
        <v>1.1399999999999999</v>
      </c>
      <c r="AF8" s="211">
        <v>1.1399999999999999</v>
      </c>
      <c r="AG8" s="211">
        <v>1.1399999999999999</v>
      </c>
      <c r="AH8" s="211">
        <v>1.1399999999999999</v>
      </c>
      <c r="AI8" s="211">
        <v>1.1399999999999999</v>
      </c>
      <c r="AJ8" s="211">
        <v>1.1399999999999999</v>
      </c>
      <c r="AK8" s="44" t="s">
        <v>10</v>
      </c>
      <c r="AN8"/>
      <c r="AO8"/>
      <c r="AP8"/>
      <c r="AQ8"/>
      <c r="AR8"/>
      <c r="AS8"/>
      <c r="AT8"/>
      <c r="AU8"/>
      <c r="AV8"/>
      <c r="AW8"/>
      <c r="AX8"/>
      <c r="AY8"/>
      <c r="AZ8"/>
      <c r="BA8"/>
      <c r="BB8"/>
      <c r="BC8"/>
      <c r="BD8"/>
      <c r="BE8"/>
      <c r="BF8"/>
      <c r="BG8"/>
      <c r="BH8"/>
      <c r="BI8"/>
      <c r="BJ8"/>
      <c r="BK8"/>
      <c r="BL8"/>
      <c r="BM8"/>
      <c r="BN8"/>
      <c r="BO8"/>
      <c r="BP8"/>
      <c r="BQ8"/>
      <c r="BR8"/>
      <c r="BS8"/>
      <c r="BT8"/>
      <c r="BU8"/>
      <c r="BV8"/>
      <c r="BW8"/>
      <c r="BX8"/>
      <c r="BY8"/>
      <c r="CF8"/>
      <c r="CG8"/>
      <c r="CH8"/>
      <c r="CI8"/>
      <c r="CJ8"/>
    </row>
    <row r="9" spans="2:88" ht="15">
      <c r="B9" s="59"/>
      <c r="C9" s="397" t="s">
        <v>260</v>
      </c>
      <c r="D9" s="398"/>
      <c r="E9" s="211">
        <v>2.75</v>
      </c>
      <c r="F9" s="211">
        <v>2.75</v>
      </c>
      <c r="G9" s="211">
        <v>2.75</v>
      </c>
      <c r="H9" s="211">
        <v>2.75</v>
      </c>
      <c r="I9" s="211">
        <v>2.75</v>
      </c>
      <c r="J9" s="211">
        <v>2.75</v>
      </c>
      <c r="K9" s="211">
        <v>2.75</v>
      </c>
      <c r="L9" s="211">
        <v>2.75</v>
      </c>
      <c r="M9" s="211">
        <v>2.75</v>
      </c>
      <c r="N9" s="211">
        <v>2.75</v>
      </c>
      <c r="O9" s="73"/>
      <c r="P9" s="211">
        <v>2.75</v>
      </c>
      <c r="Q9" s="211">
        <v>2.75</v>
      </c>
      <c r="R9" s="211">
        <v>2.75</v>
      </c>
      <c r="S9" s="211">
        <v>2.75</v>
      </c>
      <c r="T9" s="211">
        <v>2.75</v>
      </c>
      <c r="U9" s="211">
        <v>2.75</v>
      </c>
      <c r="V9" s="211">
        <v>2.75</v>
      </c>
      <c r="W9" s="211">
        <v>2.75</v>
      </c>
      <c r="X9" s="211">
        <v>2.75</v>
      </c>
      <c r="Y9" s="211">
        <v>2.75</v>
      </c>
      <c r="Z9" s="73"/>
      <c r="AA9" s="211">
        <v>2.75</v>
      </c>
      <c r="AB9" s="211">
        <v>2.75</v>
      </c>
      <c r="AC9" s="211">
        <v>2.75</v>
      </c>
      <c r="AD9" s="211">
        <v>2.75</v>
      </c>
      <c r="AE9" s="211">
        <v>2.75</v>
      </c>
      <c r="AF9" s="211">
        <v>2.75</v>
      </c>
      <c r="AG9" s="211">
        <v>2.75</v>
      </c>
      <c r="AH9" s="211">
        <v>2.75</v>
      </c>
      <c r="AI9" s="211">
        <v>2.75</v>
      </c>
      <c r="AJ9" s="211">
        <v>2.75</v>
      </c>
      <c r="AK9" s="44" t="s">
        <v>10</v>
      </c>
      <c r="AN9"/>
      <c r="AO9"/>
      <c r="AP9"/>
      <c r="AQ9"/>
      <c r="AR9"/>
      <c r="AS9"/>
      <c r="AT9"/>
      <c r="AU9"/>
      <c r="AV9"/>
      <c r="AW9"/>
      <c r="AX9"/>
      <c r="AY9"/>
      <c r="AZ9"/>
      <c r="BA9"/>
      <c r="BB9"/>
      <c r="BC9"/>
      <c r="BD9"/>
      <c r="BE9"/>
      <c r="BF9"/>
      <c r="BG9"/>
      <c r="BH9"/>
      <c r="BI9"/>
      <c r="BJ9"/>
      <c r="BK9"/>
      <c r="BL9"/>
      <c r="BM9"/>
      <c r="BN9"/>
      <c r="BO9"/>
      <c r="BP9"/>
      <c r="BQ9"/>
      <c r="BR9"/>
      <c r="BS9"/>
      <c r="BT9"/>
      <c r="BU9"/>
      <c r="BV9"/>
      <c r="BW9"/>
      <c r="BX9"/>
      <c r="BY9"/>
      <c r="CF9"/>
      <c r="CG9"/>
      <c r="CH9"/>
      <c r="CI9"/>
      <c r="CJ9"/>
    </row>
    <row r="10" spans="2:88" ht="18.75" customHeight="1">
      <c r="B10" s="59"/>
      <c r="C10" s="397" t="s">
        <v>259</v>
      </c>
      <c r="D10" s="398"/>
      <c r="E10" s="211">
        <v>2.375</v>
      </c>
      <c r="F10" s="211">
        <v>2.375</v>
      </c>
      <c r="G10" s="211">
        <v>2.375</v>
      </c>
      <c r="H10" s="211">
        <v>2.375</v>
      </c>
      <c r="I10" s="211">
        <v>2.375</v>
      </c>
      <c r="J10" s="211">
        <v>2.375</v>
      </c>
      <c r="K10" s="211">
        <v>2.375</v>
      </c>
      <c r="L10" s="211">
        <v>2.375</v>
      </c>
      <c r="M10" s="211">
        <v>2.375</v>
      </c>
      <c r="N10" s="211">
        <v>2.375</v>
      </c>
      <c r="O10" s="73"/>
      <c r="P10" s="211">
        <v>2.375</v>
      </c>
      <c r="Q10" s="211">
        <v>2.375</v>
      </c>
      <c r="R10" s="211">
        <v>2.375</v>
      </c>
      <c r="S10" s="211">
        <v>2.375</v>
      </c>
      <c r="T10" s="211">
        <v>2.375</v>
      </c>
      <c r="U10" s="211">
        <v>2.375</v>
      </c>
      <c r="V10" s="211">
        <v>2.375</v>
      </c>
      <c r="W10" s="211">
        <v>2.375</v>
      </c>
      <c r="X10" s="211">
        <v>2.375</v>
      </c>
      <c r="Y10" s="211">
        <v>2.375</v>
      </c>
      <c r="Z10" s="73"/>
      <c r="AA10" s="211">
        <v>2.375</v>
      </c>
      <c r="AB10" s="211">
        <v>2.375</v>
      </c>
      <c r="AC10" s="211">
        <v>2.375</v>
      </c>
      <c r="AD10" s="211">
        <v>2.375</v>
      </c>
      <c r="AE10" s="211">
        <v>2.375</v>
      </c>
      <c r="AF10" s="211">
        <v>2.375</v>
      </c>
      <c r="AG10" s="211">
        <v>2.375</v>
      </c>
      <c r="AH10" s="211">
        <v>2.375</v>
      </c>
      <c r="AI10" s="211">
        <v>2.375</v>
      </c>
      <c r="AJ10" s="211">
        <v>2.375</v>
      </c>
      <c r="AK10" s="44" t="s">
        <v>10</v>
      </c>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CF10"/>
      <c r="CG10"/>
      <c r="CH10"/>
      <c r="CI10"/>
      <c r="CJ10"/>
    </row>
    <row r="11" spans="2:88" s="311" customFormat="1" ht="14.25" customHeight="1">
      <c r="B11" s="394"/>
      <c r="C11" s="395"/>
      <c r="D11" s="396"/>
      <c r="E11" s="307"/>
      <c r="F11" s="307"/>
      <c r="G11" s="307"/>
      <c r="H11" s="307"/>
      <c r="I11" s="307"/>
      <c r="J11" s="307"/>
      <c r="K11" s="307"/>
      <c r="L11" s="307"/>
      <c r="M11" s="308"/>
      <c r="N11" s="308"/>
      <c r="O11" s="73"/>
      <c r="P11" s="307"/>
      <c r="Q11" s="307"/>
      <c r="R11" s="307"/>
      <c r="S11" s="313"/>
      <c r="T11" s="313"/>
      <c r="U11" s="313"/>
      <c r="V11" s="313"/>
      <c r="W11" s="307"/>
      <c r="X11" s="307"/>
      <c r="Y11" s="308"/>
      <c r="Z11" s="309"/>
      <c r="AA11" s="307"/>
      <c r="AB11" s="307"/>
      <c r="AC11" s="307"/>
      <c r="AD11" s="307"/>
      <c r="AE11" s="307"/>
      <c r="AF11" s="307"/>
      <c r="AG11" s="307"/>
      <c r="AH11" s="307"/>
      <c r="AI11" s="308"/>
      <c r="AJ11" s="308"/>
      <c r="AK11" s="310"/>
    </row>
    <row r="12" spans="2:88" ht="14.1" customHeight="1">
      <c r="B12" s="373" t="s">
        <v>172</v>
      </c>
      <c r="C12" s="367" t="s">
        <v>236</v>
      </c>
      <c r="D12" s="74" t="s">
        <v>87</v>
      </c>
      <c r="E12" s="276">
        <v>54</v>
      </c>
      <c r="F12" s="276">
        <v>54</v>
      </c>
      <c r="G12" s="276">
        <v>54</v>
      </c>
      <c r="H12" s="276">
        <v>56</v>
      </c>
      <c r="I12" s="276">
        <v>56</v>
      </c>
      <c r="J12" s="276">
        <v>59</v>
      </c>
      <c r="K12" s="276">
        <v>59</v>
      </c>
      <c r="L12" s="276">
        <v>61</v>
      </c>
      <c r="M12" s="276">
        <v>61</v>
      </c>
      <c r="N12" s="276">
        <v>64</v>
      </c>
      <c r="O12" s="73"/>
      <c r="P12" s="276">
        <v>40</v>
      </c>
      <c r="Q12" s="276">
        <v>40</v>
      </c>
      <c r="R12" s="276">
        <v>40</v>
      </c>
      <c r="S12" s="276">
        <v>43</v>
      </c>
      <c r="T12" s="276">
        <v>43</v>
      </c>
      <c r="U12" s="276">
        <v>46</v>
      </c>
      <c r="V12" s="276">
        <v>46</v>
      </c>
      <c r="W12" s="276">
        <v>49</v>
      </c>
      <c r="X12" s="276">
        <v>49</v>
      </c>
      <c r="Y12" s="276">
        <v>52</v>
      </c>
      <c r="Z12" s="77"/>
      <c r="AA12" s="276">
        <v>30</v>
      </c>
      <c r="AB12" s="276">
        <v>33</v>
      </c>
      <c r="AC12" s="276">
        <v>33</v>
      </c>
      <c r="AD12" s="276">
        <v>36</v>
      </c>
      <c r="AE12" s="276">
        <v>36</v>
      </c>
      <c r="AF12" s="276">
        <v>40</v>
      </c>
      <c r="AG12" s="276">
        <v>40</v>
      </c>
      <c r="AH12" s="276">
        <v>44</v>
      </c>
      <c r="AI12" s="276">
        <v>44</v>
      </c>
      <c r="AJ12" s="276">
        <v>49</v>
      </c>
      <c r="AK12" s="44" t="s">
        <v>11</v>
      </c>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CF12"/>
      <c r="CG12"/>
      <c r="CH12"/>
      <c r="CI12"/>
      <c r="CJ12"/>
    </row>
    <row r="13" spans="2:88" ht="14.1" customHeight="1">
      <c r="B13" s="373"/>
      <c r="C13" s="368"/>
      <c r="D13" s="74" t="s">
        <v>88</v>
      </c>
      <c r="E13" s="276">
        <v>54</v>
      </c>
      <c r="F13" s="276">
        <v>54</v>
      </c>
      <c r="G13" s="276">
        <v>54</v>
      </c>
      <c r="H13" s="276">
        <v>56</v>
      </c>
      <c r="I13" s="276">
        <v>56</v>
      </c>
      <c r="J13" s="276">
        <v>59</v>
      </c>
      <c r="K13" s="276">
        <v>59</v>
      </c>
      <c r="L13" s="276">
        <v>61</v>
      </c>
      <c r="M13" s="276">
        <v>61</v>
      </c>
      <c r="N13" s="276">
        <v>64</v>
      </c>
      <c r="O13" s="73"/>
      <c r="P13" s="276">
        <v>45</v>
      </c>
      <c r="Q13" s="276">
        <v>45</v>
      </c>
      <c r="R13" s="276">
        <v>45</v>
      </c>
      <c r="S13" s="276">
        <v>48</v>
      </c>
      <c r="T13" s="276">
        <v>48</v>
      </c>
      <c r="U13" s="276">
        <v>51</v>
      </c>
      <c r="V13" s="276">
        <v>51</v>
      </c>
      <c r="W13" s="276">
        <v>54</v>
      </c>
      <c r="X13" s="276">
        <v>54</v>
      </c>
      <c r="Y13" s="276">
        <v>57</v>
      </c>
      <c r="Z13" s="77"/>
      <c r="AA13" s="276">
        <v>32</v>
      </c>
      <c r="AB13" s="276">
        <v>36</v>
      </c>
      <c r="AC13" s="276">
        <v>36</v>
      </c>
      <c r="AD13" s="276">
        <v>39</v>
      </c>
      <c r="AE13" s="276">
        <v>39</v>
      </c>
      <c r="AF13" s="276">
        <v>43</v>
      </c>
      <c r="AG13" s="276">
        <v>43</v>
      </c>
      <c r="AH13" s="276">
        <v>47</v>
      </c>
      <c r="AI13" s="276">
        <v>47</v>
      </c>
      <c r="AJ13" s="276">
        <v>52</v>
      </c>
      <c r="AK13" s="44" t="s">
        <v>11</v>
      </c>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CF13"/>
      <c r="CG13"/>
      <c r="CH13"/>
      <c r="CI13"/>
      <c r="CJ13"/>
    </row>
    <row r="14" spans="2:88" ht="14.1" customHeight="1">
      <c r="B14" s="373"/>
      <c r="C14" s="369"/>
      <c r="D14" s="74" t="s">
        <v>86</v>
      </c>
      <c r="E14" s="276">
        <v>68</v>
      </c>
      <c r="F14" s="276">
        <v>68</v>
      </c>
      <c r="G14" s="276">
        <v>68</v>
      </c>
      <c r="H14" s="276">
        <v>69</v>
      </c>
      <c r="I14" s="276">
        <v>69</v>
      </c>
      <c r="J14" s="276">
        <v>72</v>
      </c>
      <c r="K14" s="276">
        <v>72</v>
      </c>
      <c r="L14" s="276">
        <v>76</v>
      </c>
      <c r="M14" s="276">
        <v>76</v>
      </c>
      <c r="N14" s="276">
        <v>80</v>
      </c>
      <c r="O14" s="73"/>
      <c r="P14" s="276">
        <v>75</v>
      </c>
      <c r="Q14" s="276">
        <v>75</v>
      </c>
      <c r="R14" s="276">
        <v>75</v>
      </c>
      <c r="S14" s="276">
        <v>80</v>
      </c>
      <c r="T14" s="276">
        <v>80</v>
      </c>
      <c r="U14" s="276">
        <v>85</v>
      </c>
      <c r="V14" s="276">
        <v>85</v>
      </c>
      <c r="W14" s="276">
        <v>90</v>
      </c>
      <c r="X14" s="276">
        <v>90</v>
      </c>
      <c r="Y14" s="276">
        <v>95</v>
      </c>
      <c r="Z14" s="77"/>
      <c r="AA14" s="276">
        <v>38</v>
      </c>
      <c r="AB14" s="276">
        <v>41</v>
      </c>
      <c r="AC14" s="276">
        <v>41</v>
      </c>
      <c r="AD14" s="276">
        <v>45</v>
      </c>
      <c r="AE14" s="276">
        <v>45</v>
      </c>
      <c r="AF14" s="276">
        <v>50</v>
      </c>
      <c r="AG14" s="276">
        <v>50</v>
      </c>
      <c r="AH14" s="276">
        <v>55</v>
      </c>
      <c r="AI14" s="276">
        <v>55</v>
      </c>
      <c r="AJ14" s="276">
        <v>61</v>
      </c>
      <c r="AK14" s="44" t="s">
        <v>11</v>
      </c>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CF14"/>
      <c r="CG14"/>
      <c r="CH14"/>
      <c r="CI14"/>
      <c r="CJ14"/>
    </row>
    <row r="15" spans="2:88" ht="14.1" customHeight="1">
      <c r="B15" s="374" t="s">
        <v>400</v>
      </c>
      <c r="C15" s="367" t="s">
        <v>238</v>
      </c>
      <c r="D15" s="74" t="s">
        <v>87</v>
      </c>
      <c r="E15" s="277">
        <v>4</v>
      </c>
      <c r="F15" s="277">
        <v>4</v>
      </c>
      <c r="G15" s="277">
        <v>4</v>
      </c>
      <c r="H15" s="277">
        <v>4</v>
      </c>
      <c r="I15" s="277">
        <v>4</v>
      </c>
      <c r="J15" s="277">
        <v>4</v>
      </c>
      <c r="K15" s="277">
        <v>4</v>
      </c>
      <c r="L15" s="277">
        <v>4</v>
      </c>
      <c r="M15" s="277">
        <v>4</v>
      </c>
      <c r="N15" s="277">
        <v>4</v>
      </c>
      <c r="O15" s="73"/>
      <c r="P15" s="277">
        <v>3</v>
      </c>
      <c r="Q15" s="277">
        <v>3</v>
      </c>
      <c r="R15" s="277">
        <v>3</v>
      </c>
      <c r="S15" s="277">
        <v>3</v>
      </c>
      <c r="T15" s="277">
        <v>3</v>
      </c>
      <c r="U15" s="277">
        <v>3</v>
      </c>
      <c r="V15" s="277">
        <v>3</v>
      </c>
      <c r="W15" s="277">
        <v>3</v>
      </c>
      <c r="X15" s="277">
        <v>3</v>
      </c>
      <c r="Y15" s="277">
        <v>3</v>
      </c>
      <c r="Z15" s="77"/>
      <c r="AA15" s="277">
        <v>2.6</v>
      </c>
      <c r="AB15" s="277">
        <v>2.6</v>
      </c>
      <c r="AC15" s="277">
        <v>2.6</v>
      </c>
      <c r="AD15" s="277">
        <v>2.6</v>
      </c>
      <c r="AE15" s="277">
        <v>2.6</v>
      </c>
      <c r="AF15" s="277">
        <v>2.6</v>
      </c>
      <c r="AG15" s="277">
        <v>2.6</v>
      </c>
      <c r="AH15" s="277">
        <v>2.6</v>
      </c>
      <c r="AI15" s="277">
        <v>2.6</v>
      </c>
      <c r="AJ15" s="277">
        <v>2.6</v>
      </c>
      <c r="AK15" s="44" t="s">
        <v>11</v>
      </c>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CF15"/>
      <c r="CG15"/>
      <c r="CH15"/>
      <c r="CI15"/>
      <c r="CJ15"/>
    </row>
    <row r="16" spans="2:88" ht="14.1" customHeight="1">
      <c r="B16" s="374"/>
      <c r="C16" s="368"/>
      <c r="D16" s="74" t="s">
        <v>88</v>
      </c>
      <c r="E16" s="277">
        <v>4</v>
      </c>
      <c r="F16" s="277">
        <v>4</v>
      </c>
      <c r="G16" s="277">
        <v>4</v>
      </c>
      <c r="H16" s="277">
        <v>4</v>
      </c>
      <c r="I16" s="277">
        <v>4</v>
      </c>
      <c r="J16" s="277">
        <v>4</v>
      </c>
      <c r="K16" s="277">
        <v>4</v>
      </c>
      <c r="L16" s="277">
        <v>4</v>
      </c>
      <c r="M16" s="277">
        <v>4</v>
      </c>
      <c r="N16" s="277">
        <v>4</v>
      </c>
      <c r="O16" s="73"/>
      <c r="P16" s="277">
        <v>3</v>
      </c>
      <c r="Q16" s="277">
        <v>3</v>
      </c>
      <c r="R16" s="277">
        <v>3</v>
      </c>
      <c r="S16" s="277">
        <v>3</v>
      </c>
      <c r="T16" s="277">
        <v>3</v>
      </c>
      <c r="U16" s="277">
        <v>3</v>
      </c>
      <c r="V16" s="277">
        <v>3</v>
      </c>
      <c r="W16" s="277">
        <v>3</v>
      </c>
      <c r="X16" s="277">
        <v>3</v>
      </c>
      <c r="Y16" s="277">
        <v>3</v>
      </c>
      <c r="Z16" s="77"/>
      <c r="AA16" s="277">
        <v>3.2</v>
      </c>
      <c r="AB16" s="277">
        <v>3.2</v>
      </c>
      <c r="AC16" s="277">
        <v>3.2</v>
      </c>
      <c r="AD16" s="277">
        <v>3.2</v>
      </c>
      <c r="AE16" s="277">
        <v>3.2</v>
      </c>
      <c r="AF16" s="277">
        <v>3.2</v>
      </c>
      <c r="AG16" s="277">
        <v>3.2</v>
      </c>
      <c r="AH16" s="277">
        <v>3.2</v>
      </c>
      <c r="AI16" s="277">
        <v>3.2</v>
      </c>
      <c r="AJ16" s="277">
        <v>3.2</v>
      </c>
      <c r="AK16" s="44" t="s">
        <v>11</v>
      </c>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CF16"/>
      <c r="CG16"/>
      <c r="CH16"/>
      <c r="CI16"/>
      <c r="CJ16"/>
    </row>
    <row r="17" spans="2:88" ht="14.1" customHeight="1">
      <c r="B17" s="374"/>
      <c r="C17" s="369"/>
      <c r="D17" s="74" t="s">
        <v>86</v>
      </c>
      <c r="E17" s="277">
        <v>4</v>
      </c>
      <c r="F17" s="277">
        <v>4</v>
      </c>
      <c r="G17" s="277">
        <v>4</v>
      </c>
      <c r="H17" s="277">
        <v>4</v>
      </c>
      <c r="I17" s="277">
        <v>4</v>
      </c>
      <c r="J17" s="277">
        <v>4</v>
      </c>
      <c r="K17" s="277">
        <v>4</v>
      </c>
      <c r="L17" s="277">
        <v>4</v>
      </c>
      <c r="M17" s="277">
        <v>4</v>
      </c>
      <c r="N17" s="277">
        <v>4</v>
      </c>
      <c r="O17" s="73"/>
      <c r="P17" s="277">
        <v>4</v>
      </c>
      <c r="Q17" s="277">
        <v>4</v>
      </c>
      <c r="R17" s="277">
        <v>4</v>
      </c>
      <c r="S17" s="277">
        <v>4</v>
      </c>
      <c r="T17" s="277">
        <v>4</v>
      </c>
      <c r="U17" s="277">
        <v>4</v>
      </c>
      <c r="V17" s="277">
        <v>4</v>
      </c>
      <c r="W17" s="277">
        <v>4</v>
      </c>
      <c r="X17" s="277">
        <v>4</v>
      </c>
      <c r="Y17" s="277">
        <v>4</v>
      </c>
      <c r="Z17" s="77"/>
      <c r="AA17" s="277">
        <v>4.8</v>
      </c>
      <c r="AB17" s="277">
        <v>4.8</v>
      </c>
      <c r="AC17" s="277">
        <v>4.8</v>
      </c>
      <c r="AD17" s="277">
        <v>4.8</v>
      </c>
      <c r="AE17" s="277">
        <v>4.8</v>
      </c>
      <c r="AF17" s="277">
        <v>4.8</v>
      </c>
      <c r="AG17" s="277">
        <v>4.8</v>
      </c>
      <c r="AH17" s="277">
        <v>4.8</v>
      </c>
      <c r="AI17" s="277">
        <v>4.8</v>
      </c>
      <c r="AJ17" s="277">
        <v>4.8</v>
      </c>
      <c r="AK17" s="44" t="s">
        <v>11</v>
      </c>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CF17"/>
      <c r="CG17"/>
      <c r="CH17"/>
      <c r="CI17"/>
      <c r="CJ17"/>
    </row>
    <row r="18" spans="2:88" ht="14.1" customHeight="1">
      <c r="B18" s="384" t="s">
        <v>183</v>
      </c>
      <c r="C18" s="370" t="s">
        <v>124</v>
      </c>
      <c r="D18" s="74" t="s">
        <v>87</v>
      </c>
      <c r="E18" s="276">
        <v>22</v>
      </c>
      <c r="F18" s="276">
        <v>22</v>
      </c>
      <c r="G18" s="276">
        <v>22</v>
      </c>
      <c r="H18" s="276">
        <v>22</v>
      </c>
      <c r="I18" s="276">
        <v>22</v>
      </c>
      <c r="J18" s="276">
        <v>22</v>
      </c>
      <c r="K18" s="276">
        <v>22</v>
      </c>
      <c r="L18" s="276">
        <v>22</v>
      </c>
      <c r="M18" s="276">
        <v>22</v>
      </c>
      <c r="N18" s="276">
        <v>23</v>
      </c>
      <c r="O18" s="73"/>
      <c r="P18" s="276">
        <v>25</v>
      </c>
      <c r="Q18" s="276">
        <v>25</v>
      </c>
      <c r="R18" s="276">
        <v>25</v>
      </c>
      <c r="S18" s="276">
        <v>25</v>
      </c>
      <c r="T18" s="276">
        <v>25</v>
      </c>
      <c r="U18" s="276">
        <v>25</v>
      </c>
      <c r="V18" s="276">
        <v>25</v>
      </c>
      <c r="W18" s="276">
        <v>25</v>
      </c>
      <c r="X18" s="276">
        <v>25</v>
      </c>
      <c r="Y18" s="276">
        <v>25</v>
      </c>
      <c r="Z18" s="77"/>
      <c r="AA18" s="276">
        <v>19</v>
      </c>
      <c r="AB18" s="276">
        <v>19</v>
      </c>
      <c r="AC18" s="276">
        <v>19</v>
      </c>
      <c r="AD18" s="276">
        <v>19.5</v>
      </c>
      <c r="AE18" s="276">
        <v>19.5</v>
      </c>
      <c r="AF18" s="276">
        <v>20</v>
      </c>
      <c r="AG18" s="276">
        <v>20</v>
      </c>
      <c r="AH18" s="276">
        <v>20.5</v>
      </c>
      <c r="AI18" s="276">
        <v>20.5</v>
      </c>
      <c r="AJ18" s="276">
        <v>21</v>
      </c>
      <c r="AK18" s="44" t="s">
        <v>11</v>
      </c>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CF18"/>
      <c r="CG18"/>
      <c r="CH18"/>
      <c r="CI18"/>
      <c r="CJ18"/>
    </row>
    <row r="19" spans="2:88" ht="14.1" customHeight="1">
      <c r="B19" s="385"/>
      <c r="C19" s="371"/>
      <c r="D19" s="74" t="s">
        <v>88</v>
      </c>
      <c r="E19" s="276">
        <v>22</v>
      </c>
      <c r="F19" s="276">
        <v>22</v>
      </c>
      <c r="G19" s="276">
        <v>22</v>
      </c>
      <c r="H19" s="276">
        <v>22</v>
      </c>
      <c r="I19" s="276">
        <v>22</v>
      </c>
      <c r="J19" s="276">
        <v>22</v>
      </c>
      <c r="K19" s="276">
        <v>22</v>
      </c>
      <c r="L19" s="276">
        <v>22</v>
      </c>
      <c r="M19" s="276">
        <v>22</v>
      </c>
      <c r="N19" s="276">
        <v>23</v>
      </c>
      <c r="O19" s="73"/>
      <c r="P19" s="276">
        <v>25</v>
      </c>
      <c r="Q19" s="276">
        <v>25</v>
      </c>
      <c r="R19" s="276">
        <v>25</v>
      </c>
      <c r="S19" s="276">
        <v>25</v>
      </c>
      <c r="T19" s="276">
        <v>25</v>
      </c>
      <c r="U19" s="276">
        <v>25</v>
      </c>
      <c r="V19" s="276">
        <v>25</v>
      </c>
      <c r="W19" s="276">
        <v>25</v>
      </c>
      <c r="X19" s="276">
        <v>25</v>
      </c>
      <c r="Y19" s="276">
        <v>25</v>
      </c>
      <c r="Z19" s="77"/>
      <c r="AA19" s="276">
        <v>19</v>
      </c>
      <c r="AB19" s="276">
        <v>19</v>
      </c>
      <c r="AC19" s="276">
        <v>19</v>
      </c>
      <c r="AD19" s="276">
        <v>19.5</v>
      </c>
      <c r="AE19" s="276">
        <v>19.5</v>
      </c>
      <c r="AF19" s="276">
        <v>20</v>
      </c>
      <c r="AG19" s="276">
        <v>20</v>
      </c>
      <c r="AH19" s="276">
        <v>20.5</v>
      </c>
      <c r="AI19" s="276">
        <v>20.5</v>
      </c>
      <c r="AJ19" s="276">
        <v>21</v>
      </c>
      <c r="AK19" s="44" t="s">
        <v>11</v>
      </c>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CF19"/>
      <c r="CG19"/>
      <c r="CH19"/>
      <c r="CI19"/>
      <c r="CJ19"/>
    </row>
    <row r="20" spans="2:88" ht="14.1" customHeight="1">
      <c r="B20" s="386"/>
      <c r="C20" s="372"/>
      <c r="D20" s="74" t="s">
        <v>86</v>
      </c>
      <c r="E20" s="276">
        <v>22</v>
      </c>
      <c r="F20" s="276">
        <v>22</v>
      </c>
      <c r="G20" s="276">
        <v>22</v>
      </c>
      <c r="H20" s="276">
        <v>22</v>
      </c>
      <c r="I20" s="276">
        <v>22</v>
      </c>
      <c r="J20" s="276">
        <v>22</v>
      </c>
      <c r="K20" s="276">
        <v>22</v>
      </c>
      <c r="L20" s="276">
        <v>22</v>
      </c>
      <c r="M20" s="276">
        <v>22</v>
      </c>
      <c r="N20" s="276">
        <v>23</v>
      </c>
      <c r="O20" s="73"/>
      <c r="P20" s="276">
        <v>25</v>
      </c>
      <c r="Q20" s="276">
        <v>25</v>
      </c>
      <c r="R20" s="276">
        <v>25</v>
      </c>
      <c r="S20" s="276">
        <v>25</v>
      </c>
      <c r="T20" s="276">
        <v>25</v>
      </c>
      <c r="U20" s="276">
        <v>25</v>
      </c>
      <c r="V20" s="276">
        <v>25</v>
      </c>
      <c r="W20" s="276">
        <v>25</v>
      </c>
      <c r="X20" s="276">
        <v>25</v>
      </c>
      <c r="Y20" s="276">
        <v>25</v>
      </c>
      <c r="Z20" s="77"/>
      <c r="AA20" s="276">
        <v>19</v>
      </c>
      <c r="AB20" s="276">
        <v>19</v>
      </c>
      <c r="AC20" s="276">
        <v>19</v>
      </c>
      <c r="AD20" s="276">
        <v>19.5</v>
      </c>
      <c r="AE20" s="276">
        <v>19.5</v>
      </c>
      <c r="AF20" s="276">
        <v>20</v>
      </c>
      <c r="AG20" s="276">
        <v>20</v>
      </c>
      <c r="AH20" s="276">
        <v>20.5</v>
      </c>
      <c r="AI20" s="276">
        <v>20.5</v>
      </c>
      <c r="AJ20" s="276">
        <v>21</v>
      </c>
      <c r="AK20" s="44" t="s">
        <v>11</v>
      </c>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CF20"/>
      <c r="CG20"/>
      <c r="CH20"/>
      <c r="CI20"/>
      <c r="CJ20"/>
    </row>
    <row r="21" spans="2:88" ht="14.1" customHeight="1">
      <c r="B21" s="380" t="s">
        <v>173</v>
      </c>
      <c r="C21" s="367" t="s">
        <v>125</v>
      </c>
      <c r="D21" s="74" t="s">
        <v>87</v>
      </c>
      <c r="E21" s="277">
        <v>40</v>
      </c>
      <c r="F21" s="277">
        <v>40</v>
      </c>
      <c r="G21" s="277">
        <v>40</v>
      </c>
      <c r="H21" s="277">
        <v>41</v>
      </c>
      <c r="I21" s="277">
        <v>41</v>
      </c>
      <c r="J21" s="277">
        <v>42</v>
      </c>
      <c r="K21" s="277">
        <v>42</v>
      </c>
      <c r="L21" s="277">
        <v>44</v>
      </c>
      <c r="M21" s="277">
        <v>44</v>
      </c>
      <c r="N21" s="277">
        <v>46</v>
      </c>
      <c r="O21" s="73"/>
      <c r="P21" s="277">
        <v>33</v>
      </c>
      <c r="Q21" s="277">
        <v>33</v>
      </c>
      <c r="R21" s="277">
        <v>33</v>
      </c>
      <c r="S21" s="277">
        <v>34</v>
      </c>
      <c r="T21" s="277">
        <v>34</v>
      </c>
      <c r="U21" s="277">
        <v>35</v>
      </c>
      <c r="V21" s="277">
        <v>35</v>
      </c>
      <c r="W21" s="277">
        <v>36</v>
      </c>
      <c r="X21" s="277">
        <v>36</v>
      </c>
      <c r="Y21" s="277">
        <v>37</v>
      </c>
      <c r="Z21" s="77"/>
      <c r="AA21" s="277">
        <v>23</v>
      </c>
      <c r="AB21" s="277">
        <v>24</v>
      </c>
      <c r="AC21" s="277">
        <v>24</v>
      </c>
      <c r="AD21" s="277">
        <v>26</v>
      </c>
      <c r="AE21" s="277">
        <v>26</v>
      </c>
      <c r="AF21" s="277">
        <v>28</v>
      </c>
      <c r="AG21" s="277">
        <v>28</v>
      </c>
      <c r="AH21" s="277">
        <v>30</v>
      </c>
      <c r="AI21" s="277">
        <v>30</v>
      </c>
      <c r="AJ21" s="277">
        <v>32</v>
      </c>
      <c r="AK21" s="44" t="s">
        <v>11</v>
      </c>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CF21"/>
      <c r="CG21"/>
      <c r="CH21"/>
      <c r="CI21"/>
      <c r="CJ21"/>
    </row>
    <row r="22" spans="2:88" ht="14.1" customHeight="1">
      <c r="B22" s="381"/>
      <c r="C22" s="368"/>
      <c r="D22" s="74" t="s">
        <v>88</v>
      </c>
      <c r="E22" s="277">
        <v>40</v>
      </c>
      <c r="F22" s="277">
        <v>40</v>
      </c>
      <c r="G22" s="277">
        <v>40</v>
      </c>
      <c r="H22" s="277">
        <v>41</v>
      </c>
      <c r="I22" s="277">
        <v>41</v>
      </c>
      <c r="J22" s="277">
        <v>42</v>
      </c>
      <c r="K22" s="277">
        <v>42</v>
      </c>
      <c r="L22" s="277">
        <v>44</v>
      </c>
      <c r="M22" s="277">
        <v>44</v>
      </c>
      <c r="N22" s="277">
        <v>46</v>
      </c>
      <c r="O22" s="73"/>
      <c r="P22" s="277">
        <v>33</v>
      </c>
      <c r="Q22" s="277">
        <v>33</v>
      </c>
      <c r="R22" s="277">
        <v>33</v>
      </c>
      <c r="S22" s="277">
        <v>34</v>
      </c>
      <c r="T22" s="277">
        <v>34</v>
      </c>
      <c r="U22" s="277">
        <v>35</v>
      </c>
      <c r="V22" s="277">
        <v>35</v>
      </c>
      <c r="W22" s="277">
        <v>36</v>
      </c>
      <c r="X22" s="277">
        <v>36</v>
      </c>
      <c r="Y22" s="277">
        <v>37</v>
      </c>
      <c r="Z22" s="77"/>
      <c r="AA22" s="277">
        <v>23</v>
      </c>
      <c r="AB22" s="277">
        <v>24</v>
      </c>
      <c r="AC22" s="277">
        <v>24</v>
      </c>
      <c r="AD22" s="277">
        <v>26</v>
      </c>
      <c r="AE22" s="277">
        <v>26</v>
      </c>
      <c r="AF22" s="277">
        <v>28</v>
      </c>
      <c r="AG22" s="277">
        <v>28</v>
      </c>
      <c r="AH22" s="277">
        <v>30</v>
      </c>
      <c r="AI22" s="277">
        <v>30</v>
      </c>
      <c r="AJ22" s="277">
        <v>32</v>
      </c>
      <c r="AK22" s="44" t="s">
        <v>11</v>
      </c>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CF22"/>
      <c r="CG22"/>
      <c r="CH22"/>
      <c r="CI22"/>
      <c r="CJ22"/>
    </row>
    <row r="23" spans="2:88" ht="14.1" customHeight="1">
      <c r="B23" s="382"/>
      <c r="C23" s="369"/>
      <c r="D23" s="74" t="s">
        <v>86</v>
      </c>
      <c r="E23" s="277">
        <v>40</v>
      </c>
      <c r="F23" s="277">
        <v>40</v>
      </c>
      <c r="G23" s="277">
        <v>40</v>
      </c>
      <c r="H23" s="277">
        <v>41</v>
      </c>
      <c r="I23" s="277">
        <v>41</v>
      </c>
      <c r="J23" s="277">
        <v>42</v>
      </c>
      <c r="K23" s="277">
        <v>42</v>
      </c>
      <c r="L23" s="277">
        <v>44</v>
      </c>
      <c r="M23" s="277">
        <v>44</v>
      </c>
      <c r="N23" s="277">
        <v>46</v>
      </c>
      <c r="O23" s="73"/>
      <c r="P23" s="277">
        <v>33</v>
      </c>
      <c r="Q23" s="277">
        <v>33</v>
      </c>
      <c r="R23" s="277">
        <v>33</v>
      </c>
      <c r="S23" s="277">
        <v>34</v>
      </c>
      <c r="T23" s="277">
        <v>34</v>
      </c>
      <c r="U23" s="277">
        <v>35</v>
      </c>
      <c r="V23" s="277">
        <v>35</v>
      </c>
      <c r="W23" s="277">
        <v>36</v>
      </c>
      <c r="X23" s="277">
        <v>36</v>
      </c>
      <c r="Y23" s="277">
        <v>37</v>
      </c>
      <c r="Z23" s="77"/>
      <c r="AA23" s="277">
        <v>23</v>
      </c>
      <c r="AB23" s="277">
        <v>24</v>
      </c>
      <c r="AC23" s="277">
        <v>24</v>
      </c>
      <c r="AD23" s="277">
        <v>26</v>
      </c>
      <c r="AE23" s="277">
        <v>26</v>
      </c>
      <c r="AF23" s="277">
        <v>28</v>
      </c>
      <c r="AG23" s="277">
        <v>28</v>
      </c>
      <c r="AH23" s="277">
        <v>30</v>
      </c>
      <c r="AI23" s="277">
        <v>30</v>
      </c>
      <c r="AJ23" s="277">
        <v>32</v>
      </c>
      <c r="AK23" s="44" t="s">
        <v>11</v>
      </c>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CF23"/>
      <c r="CG23"/>
      <c r="CH23"/>
      <c r="CI23"/>
      <c r="CJ23"/>
    </row>
    <row r="24" spans="2:88" ht="14.1" customHeight="1">
      <c r="B24" s="373" t="s">
        <v>174</v>
      </c>
      <c r="C24" s="375" t="s">
        <v>171</v>
      </c>
      <c r="D24" s="74" t="s">
        <v>87</v>
      </c>
      <c r="E24" s="276">
        <v>33</v>
      </c>
      <c r="F24" s="276">
        <v>33</v>
      </c>
      <c r="G24" s="276">
        <v>33</v>
      </c>
      <c r="H24" s="276">
        <v>33</v>
      </c>
      <c r="I24" s="276">
        <v>33</v>
      </c>
      <c r="J24" s="276">
        <v>33</v>
      </c>
      <c r="K24" s="276">
        <v>33</v>
      </c>
      <c r="L24" s="276">
        <v>34</v>
      </c>
      <c r="M24" s="276">
        <v>34</v>
      </c>
      <c r="N24" s="276">
        <v>35</v>
      </c>
      <c r="O24" s="73"/>
      <c r="P24" s="276">
        <v>30</v>
      </c>
      <c r="Q24" s="276">
        <v>30</v>
      </c>
      <c r="R24" s="276">
        <v>30</v>
      </c>
      <c r="S24" s="276">
        <v>32</v>
      </c>
      <c r="T24" s="276">
        <v>32</v>
      </c>
      <c r="U24" s="276">
        <v>34</v>
      </c>
      <c r="V24" s="276">
        <v>34</v>
      </c>
      <c r="W24" s="276">
        <v>36</v>
      </c>
      <c r="X24" s="276">
        <v>36</v>
      </c>
      <c r="Y24" s="276">
        <v>38</v>
      </c>
      <c r="Z24" s="77"/>
      <c r="AA24" s="276">
        <v>23</v>
      </c>
      <c r="AB24" s="276">
        <v>24</v>
      </c>
      <c r="AC24" s="276">
        <v>24</v>
      </c>
      <c r="AD24" s="276">
        <v>26</v>
      </c>
      <c r="AE24" s="276">
        <v>26</v>
      </c>
      <c r="AF24" s="276">
        <v>28</v>
      </c>
      <c r="AG24" s="276">
        <v>28</v>
      </c>
      <c r="AH24" s="276">
        <v>30</v>
      </c>
      <c r="AI24" s="276">
        <v>30</v>
      </c>
      <c r="AJ24" s="276">
        <v>32</v>
      </c>
      <c r="AK24" s="44" t="s">
        <v>11</v>
      </c>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CF24"/>
      <c r="CG24"/>
      <c r="CH24"/>
      <c r="CI24"/>
      <c r="CJ24"/>
    </row>
    <row r="25" spans="2:88" ht="14.1" customHeight="1">
      <c r="B25" s="373"/>
      <c r="C25" s="375"/>
      <c r="D25" s="74" t="s">
        <v>88</v>
      </c>
      <c r="E25" s="276">
        <v>33</v>
      </c>
      <c r="F25" s="276">
        <v>33</v>
      </c>
      <c r="G25" s="276">
        <v>33</v>
      </c>
      <c r="H25" s="276">
        <v>33</v>
      </c>
      <c r="I25" s="276">
        <v>33</v>
      </c>
      <c r="J25" s="276">
        <v>33</v>
      </c>
      <c r="K25" s="276">
        <v>33</v>
      </c>
      <c r="L25" s="276">
        <v>34</v>
      </c>
      <c r="M25" s="276">
        <v>34</v>
      </c>
      <c r="N25" s="276">
        <v>35</v>
      </c>
      <c r="O25" s="73"/>
      <c r="P25" s="276">
        <v>35</v>
      </c>
      <c r="Q25" s="276">
        <v>35</v>
      </c>
      <c r="R25" s="276">
        <v>35</v>
      </c>
      <c r="S25" s="276">
        <v>37</v>
      </c>
      <c r="T25" s="276">
        <v>37</v>
      </c>
      <c r="U25" s="276">
        <v>39</v>
      </c>
      <c r="V25" s="276">
        <v>39</v>
      </c>
      <c r="W25" s="276">
        <v>41</v>
      </c>
      <c r="X25" s="276">
        <v>41</v>
      </c>
      <c r="Y25" s="276">
        <v>43</v>
      </c>
      <c r="Z25" s="77"/>
      <c r="AA25" s="276">
        <v>24</v>
      </c>
      <c r="AB25" s="276">
        <v>26</v>
      </c>
      <c r="AC25" s="276">
        <v>26</v>
      </c>
      <c r="AD25" s="276">
        <v>28</v>
      </c>
      <c r="AE25" s="276">
        <v>28</v>
      </c>
      <c r="AF25" s="276">
        <v>30</v>
      </c>
      <c r="AG25" s="276">
        <v>30</v>
      </c>
      <c r="AH25" s="276">
        <v>32</v>
      </c>
      <c r="AI25" s="276">
        <v>32</v>
      </c>
      <c r="AJ25" s="276">
        <v>34</v>
      </c>
      <c r="AK25" s="44" t="s">
        <v>11</v>
      </c>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CF25"/>
      <c r="CG25"/>
      <c r="CH25"/>
      <c r="CI25"/>
      <c r="CJ25"/>
    </row>
    <row r="26" spans="2:88" ht="14.1" customHeight="1">
      <c r="B26" s="373"/>
      <c r="C26" s="375"/>
      <c r="D26" s="74" t="s">
        <v>86</v>
      </c>
      <c r="E26" s="276">
        <v>33</v>
      </c>
      <c r="F26" s="276">
        <v>33</v>
      </c>
      <c r="G26" s="276">
        <v>33</v>
      </c>
      <c r="H26" s="276">
        <v>33</v>
      </c>
      <c r="I26" s="276">
        <v>33</v>
      </c>
      <c r="J26" s="276">
        <v>33</v>
      </c>
      <c r="K26" s="276">
        <v>33</v>
      </c>
      <c r="L26" s="276">
        <v>34</v>
      </c>
      <c r="M26" s="276">
        <v>34</v>
      </c>
      <c r="N26" s="276">
        <v>35</v>
      </c>
      <c r="O26" s="73"/>
      <c r="P26" s="276">
        <v>39</v>
      </c>
      <c r="Q26" s="276">
        <v>39</v>
      </c>
      <c r="R26" s="276">
        <v>39</v>
      </c>
      <c r="S26" s="276">
        <v>41</v>
      </c>
      <c r="T26" s="276">
        <v>41</v>
      </c>
      <c r="U26" s="276">
        <v>43</v>
      </c>
      <c r="V26" s="276">
        <v>43</v>
      </c>
      <c r="W26" s="276">
        <v>45</v>
      </c>
      <c r="X26" s="276">
        <v>45</v>
      </c>
      <c r="Y26" s="276">
        <v>47</v>
      </c>
      <c r="Z26" s="77"/>
      <c r="AA26" s="276">
        <v>24</v>
      </c>
      <c r="AB26" s="276">
        <v>26</v>
      </c>
      <c r="AC26" s="276">
        <v>26</v>
      </c>
      <c r="AD26" s="276">
        <v>28</v>
      </c>
      <c r="AE26" s="276">
        <v>28</v>
      </c>
      <c r="AF26" s="276">
        <v>30</v>
      </c>
      <c r="AG26" s="276">
        <v>30</v>
      </c>
      <c r="AH26" s="276">
        <v>32</v>
      </c>
      <c r="AI26" s="276">
        <v>32</v>
      </c>
      <c r="AJ26" s="276">
        <v>34</v>
      </c>
      <c r="AK26" s="44" t="s">
        <v>11</v>
      </c>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CF26"/>
      <c r="CG26"/>
      <c r="CH26"/>
      <c r="CI26"/>
      <c r="CJ26"/>
    </row>
    <row r="27" spans="2:88" ht="14.1" customHeight="1">
      <c r="B27" s="373" t="s">
        <v>175</v>
      </c>
      <c r="C27" s="376" t="s">
        <v>127</v>
      </c>
      <c r="D27" s="74" t="s">
        <v>87</v>
      </c>
      <c r="E27" s="277">
        <v>56</v>
      </c>
      <c r="F27" s="277">
        <v>56</v>
      </c>
      <c r="G27" s="277">
        <v>56</v>
      </c>
      <c r="H27" s="277">
        <v>57</v>
      </c>
      <c r="I27" s="277">
        <v>57</v>
      </c>
      <c r="J27" s="277">
        <v>58</v>
      </c>
      <c r="K27" s="277">
        <v>58</v>
      </c>
      <c r="L27" s="277">
        <v>60</v>
      </c>
      <c r="M27" s="277">
        <v>60</v>
      </c>
      <c r="N27" s="277">
        <v>63</v>
      </c>
      <c r="O27" s="73"/>
      <c r="P27" s="277">
        <v>35</v>
      </c>
      <c r="Q27" s="277">
        <v>35</v>
      </c>
      <c r="R27" s="277">
        <v>35</v>
      </c>
      <c r="S27" s="277">
        <v>38</v>
      </c>
      <c r="T27" s="277">
        <v>38</v>
      </c>
      <c r="U27" s="277">
        <v>41</v>
      </c>
      <c r="V27" s="277">
        <v>41</v>
      </c>
      <c r="W27" s="277">
        <v>44</v>
      </c>
      <c r="X27" s="277">
        <v>44</v>
      </c>
      <c r="Y27" s="277">
        <v>47</v>
      </c>
      <c r="Z27" s="77"/>
      <c r="AA27" s="277">
        <v>25</v>
      </c>
      <c r="AB27" s="277">
        <v>28</v>
      </c>
      <c r="AC27" s="277">
        <v>28</v>
      </c>
      <c r="AD27" s="277">
        <v>31</v>
      </c>
      <c r="AE27" s="277">
        <v>31</v>
      </c>
      <c r="AF27" s="277">
        <v>35</v>
      </c>
      <c r="AG27" s="277">
        <v>35</v>
      </c>
      <c r="AH27" s="277">
        <v>38</v>
      </c>
      <c r="AI27" s="277">
        <v>38</v>
      </c>
      <c r="AJ27" s="277">
        <v>43</v>
      </c>
      <c r="AK27" s="44" t="s">
        <v>11</v>
      </c>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CF27"/>
      <c r="CG27"/>
      <c r="CH27"/>
      <c r="CI27"/>
      <c r="CJ27"/>
    </row>
    <row r="28" spans="2:88" ht="14.1" customHeight="1">
      <c r="B28" s="373"/>
      <c r="C28" s="376"/>
      <c r="D28" s="74" t="s">
        <v>88</v>
      </c>
      <c r="E28" s="277">
        <v>56</v>
      </c>
      <c r="F28" s="277">
        <v>56</v>
      </c>
      <c r="G28" s="277">
        <v>56</v>
      </c>
      <c r="H28" s="277">
        <v>57</v>
      </c>
      <c r="I28" s="277">
        <v>57</v>
      </c>
      <c r="J28" s="277">
        <v>58</v>
      </c>
      <c r="K28" s="277">
        <v>58</v>
      </c>
      <c r="L28" s="277">
        <v>60</v>
      </c>
      <c r="M28" s="277">
        <v>60</v>
      </c>
      <c r="N28" s="277">
        <v>63</v>
      </c>
      <c r="O28" s="73"/>
      <c r="P28" s="277">
        <v>40</v>
      </c>
      <c r="Q28" s="277">
        <v>40</v>
      </c>
      <c r="R28" s="277">
        <v>40</v>
      </c>
      <c r="S28" s="277">
        <v>43</v>
      </c>
      <c r="T28" s="277">
        <v>43</v>
      </c>
      <c r="U28" s="277">
        <v>46</v>
      </c>
      <c r="V28" s="277">
        <v>46</v>
      </c>
      <c r="W28" s="277">
        <v>49</v>
      </c>
      <c r="X28" s="277">
        <v>49</v>
      </c>
      <c r="Y28" s="277">
        <v>52</v>
      </c>
      <c r="Z28" s="77"/>
      <c r="AA28" s="277">
        <v>27</v>
      </c>
      <c r="AB28" s="277">
        <v>31</v>
      </c>
      <c r="AC28" s="277">
        <v>31</v>
      </c>
      <c r="AD28" s="277">
        <v>34</v>
      </c>
      <c r="AE28" s="277">
        <v>34</v>
      </c>
      <c r="AF28" s="277">
        <v>38</v>
      </c>
      <c r="AG28" s="277">
        <v>38</v>
      </c>
      <c r="AH28" s="277">
        <v>44</v>
      </c>
      <c r="AI28" s="277">
        <v>44</v>
      </c>
      <c r="AJ28" s="277">
        <v>46</v>
      </c>
      <c r="AK28" s="44" t="s">
        <v>11</v>
      </c>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CF28"/>
      <c r="CG28"/>
      <c r="CH28"/>
      <c r="CI28"/>
      <c r="CJ28"/>
    </row>
    <row r="29" spans="2:88" ht="14.1" customHeight="1">
      <c r="B29" s="373"/>
      <c r="C29" s="376"/>
      <c r="D29" s="74" t="s">
        <v>86</v>
      </c>
      <c r="E29" s="277">
        <v>56</v>
      </c>
      <c r="F29" s="277">
        <v>56</v>
      </c>
      <c r="G29" s="277">
        <v>56</v>
      </c>
      <c r="H29" s="277">
        <v>57</v>
      </c>
      <c r="I29" s="277">
        <v>57</v>
      </c>
      <c r="J29" s="277">
        <v>58</v>
      </c>
      <c r="K29" s="277">
        <v>58</v>
      </c>
      <c r="L29" s="277">
        <v>60</v>
      </c>
      <c r="M29" s="277">
        <v>60</v>
      </c>
      <c r="N29" s="277">
        <v>63</v>
      </c>
      <c r="O29" s="73"/>
      <c r="P29" s="277">
        <v>44</v>
      </c>
      <c r="Q29" s="277">
        <v>44</v>
      </c>
      <c r="R29" s="277">
        <v>44</v>
      </c>
      <c r="S29" s="277">
        <v>47</v>
      </c>
      <c r="T29" s="277">
        <v>47</v>
      </c>
      <c r="U29" s="277">
        <v>50</v>
      </c>
      <c r="V29" s="277">
        <v>50</v>
      </c>
      <c r="W29" s="277">
        <v>53</v>
      </c>
      <c r="X29" s="277">
        <v>53</v>
      </c>
      <c r="Y29" s="277">
        <v>56</v>
      </c>
      <c r="Z29" s="77"/>
      <c r="AA29" s="277">
        <v>33</v>
      </c>
      <c r="AB29" s="277">
        <v>35</v>
      </c>
      <c r="AC29" s="277">
        <v>35</v>
      </c>
      <c r="AD29" s="277">
        <v>38</v>
      </c>
      <c r="AE29" s="277">
        <v>38</v>
      </c>
      <c r="AF29" s="277">
        <v>40</v>
      </c>
      <c r="AG29" s="277">
        <v>40</v>
      </c>
      <c r="AH29" s="277">
        <v>48</v>
      </c>
      <c r="AI29" s="277">
        <v>48</v>
      </c>
      <c r="AJ29" s="277">
        <v>50</v>
      </c>
      <c r="AK29" s="44" t="s">
        <v>11</v>
      </c>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CF29"/>
      <c r="CG29"/>
      <c r="CH29"/>
      <c r="CI29"/>
      <c r="CJ29"/>
    </row>
    <row r="30" spans="2:88" ht="14.1" customHeight="1">
      <c r="B30" s="374" t="s">
        <v>401</v>
      </c>
      <c r="C30" s="367" t="s">
        <v>258</v>
      </c>
      <c r="D30" s="74" t="s">
        <v>87</v>
      </c>
      <c r="E30" s="276">
        <v>3</v>
      </c>
      <c r="F30" s="276">
        <v>3</v>
      </c>
      <c r="G30" s="276">
        <v>3</v>
      </c>
      <c r="H30" s="276">
        <v>3</v>
      </c>
      <c r="I30" s="276">
        <v>3</v>
      </c>
      <c r="J30" s="276">
        <v>3</v>
      </c>
      <c r="K30" s="276">
        <v>3</v>
      </c>
      <c r="L30" s="349">
        <v>3</v>
      </c>
      <c r="M30" s="349">
        <v>3</v>
      </c>
      <c r="N30" s="349">
        <v>3</v>
      </c>
      <c r="O30" s="73"/>
      <c r="P30" s="276">
        <v>3</v>
      </c>
      <c r="Q30" s="276">
        <v>3</v>
      </c>
      <c r="R30" s="276">
        <v>3</v>
      </c>
      <c r="S30" s="276">
        <v>3</v>
      </c>
      <c r="T30" s="276">
        <v>3</v>
      </c>
      <c r="U30" s="276">
        <v>3</v>
      </c>
      <c r="V30" s="276">
        <v>3</v>
      </c>
      <c r="W30" s="276">
        <v>3</v>
      </c>
      <c r="X30" s="276">
        <v>3</v>
      </c>
      <c r="Y30" s="276">
        <v>3</v>
      </c>
      <c r="Z30" s="77"/>
      <c r="AA30" s="276">
        <v>1.7</v>
      </c>
      <c r="AB30" s="276">
        <v>1.7</v>
      </c>
      <c r="AC30" s="276">
        <v>1.7</v>
      </c>
      <c r="AD30" s="276">
        <v>1.7</v>
      </c>
      <c r="AE30" s="276">
        <v>1.7</v>
      </c>
      <c r="AF30" s="276">
        <v>1.7</v>
      </c>
      <c r="AG30" s="276">
        <v>1.7</v>
      </c>
      <c r="AH30" s="276">
        <v>1.7</v>
      </c>
      <c r="AI30" s="276">
        <v>1.7</v>
      </c>
      <c r="AJ30" s="276">
        <v>1.7</v>
      </c>
      <c r="AK30" s="44" t="s">
        <v>11</v>
      </c>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CF30"/>
      <c r="CG30"/>
      <c r="CH30"/>
      <c r="CI30"/>
      <c r="CJ30"/>
    </row>
    <row r="31" spans="2:88" ht="14.1" customHeight="1">
      <c r="B31" s="374"/>
      <c r="C31" s="368"/>
      <c r="D31" s="74" t="s">
        <v>88</v>
      </c>
      <c r="E31" s="276">
        <v>3</v>
      </c>
      <c r="F31" s="276">
        <v>3</v>
      </c>
      <c r="G31" s="276">
        <v>3</v>
      </c>
      <c r="H31" s="276">
        <v>3</v>
      </c>
      <c r="I31" s="276">
        <v>3</v>
      </c>
      <c r="J31" s="276">
        <v>3</v>
      </c>
      <c r="K31" s="276">
        <v>3</v>
      </c>
      <c r="L31" s="349">
        <v>3</v>
      </c>
      <c r="M31" s="349">
        <v>3</v>
      </c>
      <c r="N31" s="349">
        <v>3</v>
      </c>
      <c r="O31" s="73"/>
      <c r="P31" s="276">
        <v>3</v>
      </c>
      <c r="Q31" s="276">
        <v>3</v>
      </c>
      <c r="R31" s="276">
        <v>3</v>
      </c>
      <c r="S31" s="276">
        <v>3</v>
      </c>
      <c r="T31" s="276">
        <v>3</v>
      </c>
      <c r="U31" s="276">
        <v>3</v>
      </c>
      <c r="V31" s="276">
        <v>3</v>
      </c>
      <c r="W31" s="276">
        <v>3</v>
      </c>
      <c r="X31" s="276">
        <v>3</v>
      </c>
      <c r="Y31" s="276">
        <v>3</v>
      </c>
      <c r="Z31" s="77"/>
      <c r="AA31" s="276">
        <v>1.7</v>
      </c>
      <c r="AB31" s="276">
        <v>1.7</v>
      </c>
      <c r="AC31" s="276">
        <v>1.7</v>
      </c>
      <c r="AD31" s="276">
        <v>1.7</v>
      </c>
      <c r="AE31" s="276">
        <v>1.7</v>
      </c>
      <c r="AF31" s="276">
        <v>1.7</v>
      </c>
      <c r="AG31" s="276">
        <v>1.7</v>
      </c>
      <c r="AH31" s="276">
        <v>1.7</v>
      </c>
      <c r="AI31" s="276">
        <v>1.7</v>
      </c>
      <c r="AJ31" s="276">
        <v>1.7</v>
      </c>
      <c r="AK31" s="44" t="s">
        <v>11</v>
      </c>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CF31"/>
      <c r="CG31"/>
      <c r="CH31"/>
      <c r="CI31"/>
      <c r="CJ31"/>
    </row>
    <row r="32" spans="2:88" ht="14.1" customHeight="1">
      <c r="B32" s="374"/>
      <c r="C32" s="369"/>
      <c r="D32" s="74" t="s">
        <v>86</v>
      </c>
      <c r="E32" s="276">
        <v>3</v>
      </c>
      <c r="F32" s="276">
        <v>3</v>
      </c>
      <c r="G32" s="276">
        <v>3</v>
      </c>
      <c r="H32" s="276">
        <v>3</v>
      </c>
      <c r="I32" s="276">
        <v>3</v>
      </c>
      <c r="J32" s="276">
        <v>3</v>
      </c>
      <c r="K32" s="276">
        <v>3</v>
      </c>
      <c r="L32" s="349">
        <v>3</v>
      </c>
      <c r="M32" s="349">
        <v>3</v>
      </c>
      <c r="N32" s="349">
        <v>3</v>
      </c>
      <c r="O32" s="73"/>
      <c r="P32" s="276">
        <v>3</v>
      </c>
      <c r="Q32" s="276">
        <v>3</v>
      </c>
      <c r="R32" s="276">
        <v>3</v>
      </c>
      <c r="S32" s="276">
        <v>3</v>
      </c>
      <c r="T32" s="276">
        <v>3</v>
      </c>
      <c r="U32" s="276">
        <v>3</v>
      </c>
      <c r="V32" s="276">
        <v>3</v>
      </c>
      <c r="W32" s="276">
        <v>3</v>
      </c>
      <c r="X32" s="276">
        <v>3</v>
      </c>
      <c r="Y32" s="276">
        <v>3</v>
      </c>
      <c r="Z32" s="77"/>
      <c r="AA32" s="276">
        <v>1.7</v>
      </c>
      <c r="AB32" s="276">
        <v>1.7</v>
      </c>
      <c r="AC32" s="276">
        <v>1.7</v>
      </c>
      <c r="AD32" s="276">
        <v>1.7</v>
      </c>
      <c r="AE32" s="276">
        <v>1.7</v>
      </c>
      <c r="AF32" s="276">
        <v>1.7</v>
      </c>
      <c r="AG32" s="276">
        <v>1.7</v>
      </c>
      <c r="AH32" s="276">
        <v>1.7</v>
      </c>
      <c r="AI32" s="276">
        <v>1.7</v>
      </c>
      <c r="AJ32" s="276">
        <v>1.7</v>
      </c>
      <c r="AK32" s="44" t="s">
        <v>11</v>
      </c>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CF32"/>
      <c r="CG32"/>
      <c r="CH32"/>
      <c r="CI32"/>
      <c r="CJ32"/>
    </row>
    <row r="33" spans="2:88" ht="14.1" customHeight="1">
      <c r="B33" s="373" t="s">
        <v>176</v>
      </c>
      <c r="C33" s="375" t="s">
        <v>128</v>
      </c>
      <c r="D33" s="74" t="s">
        <v>87</v>
      </c>
      <c r="E33" s="277">
        <v>135</v>
      </c>
      <c r="F33" s="277">
        <v>135</v>
      </c>
      <c r="G33" s="277">
        <v>135</v>
      </c>
      <c r="H33" s="277">
        <v>135</v>
      </c>
      <c r="I33" s="277">
        <v>135</v>
      </c>
      <c r="J33" s="277">
        <v>145</v>
      </c>
      <c r="K33" s="277">
        <v>145</v>
      </c>
      <c r="L33" s="277">
        <v>160</v>
      </c>
      <c r="M33" s="277">
        <v>160</v>
      </c>
      <c r="N33" s="277">
        <v>170</v>
      </c>
      <c r="O33" s="73"/>
      <c r="P33" s="277">
        <v>100</v>
      </c>
      <c r="Q33" s="277">
        <v>100</v>
      </c>
      <c r="R33" s="277">
        <v>100</v>
      </c>
      <c r="S33" s="277">
        <v>110</v>
      </c>
      <c r="T33" s="277">
        <v>110</v>
      </c>
      <c r="U33" s="277">
        <v>121</v>
      </c>
      <c r="V33" s="277">
        <v>121</v>
      </c>
      <c r="W33" s="277">
        <v>132</v>
      </c>
      <c r="X33" s="277">
        <v>132</v>
      </c>
      <c r="Y33" s="277">
        <v>143</v>
      </c>
      <c r="Z33" s="77"/>
      <c r="AA33" s="277">
        <v>62</v>
      </c>
      <c r="AB33" s="277">
        <v>74</v>
      </c>
      <c r="AC33" s="277">
        <v>74</v>
      </c>
      <c r="AD33" s="277">
        <v>88</v>
      </c>
      <c r="AE33" s="277">
        <v>88</v>
      </c>
      <c r="AF33" s="277">
        <v>105</v>
      </c>
      <c r="AG33" s="277">
        <v>105</v>
      </c>
      <c r="AH33" s="277">
        <v>125</v>
      </c>
      <c r="AI33" s="277">
        <v>125</v>
      </c>
      <c r="AJ33" s="277">
        <v>146</v>
      </c>
      <c r="AK33" s="44" t="s">
        <v>11</v>
      </c>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CF33"/>
      <c r="CG33"/>
      <c r="CH33"/>
      <c r="CI33"/>
      <c r="CJ33"/>
    </row>
    <row r="34" spans="2:88" ht="14.1" customHeight="1">
      <c r="B34" s="373"/>
      <c r="C34" s="375"/>
      <c r="D34" s="74" t="s">
        <v>88</v>
      </c>
      <c r="E34" s="277">
        <v>153</v>
      </c>
      <c r="F34" s="277">
        <v>153</v>
      </c>
      <c r="G34" s="277">
        <v>153</v>
      </c>
      <c r="H34" s="277">
        <v>157</v>
      </c>
      <c r="I34" s="277">
        <v>157</v>
      </c>
      <c r="J34" s="277">
        <v>169</v>
      </c>
      <c r="K34" s="277">
        <v>169</v>
      </c>
      <c r="L34" s="277">
        <v>169</v>
      </c>
      <c r="M34" s="277">
        <v>169</v>
      </c>
      <c r="N34" s="277">
        <v>206</v>
      </c>
      <c r="O34" s="73"/>
      <c r="P34" s="277">
        <v>125</v>
      </c>
      <c r="Q34" s="277">
        <v>125</v>
      </c>
      <c r="R34" s="277">
        <v>125</v>
      </c>
      <c r="S34" s="277">
        <v>135</v>
      </c>
      <c r="T34" s="277">
        <v>135</v>
      </c>
      <c r="U34" s="277">
        <v>146</v>
      </c>
      <c r="V34" s="277">
        <v>146</v>
      </c>
      <c r="W34" s="277">
        <v>157</v>
      </c>
      <c r="X34" s="277">
        <v>157</v>
      </c>
      <c r="Y34" s="277">
        <v>168</v>
      </c>
      <c r="Z34" s="77"/>
      <c r="AA34" s="277">
        <v>78</v>
      </c>
      <c r="AB34" s="277">
        <v>92</v>
      </c>
      <c r="AC34" s="277">
        <v>92</v>
      </c>
      <c r="AD34" s="277">
        <v>110</v>
      </c>
      <c r="AE34" s="277">
        <v>110</v>
      </c>
      <c r="AF34" s="277">
        <v>131</v>
      </c>
      <c r="AG34" s="277">
        <v>131</v>
      </c>
      <c r="AH34" s="277">
        <v>156</v>
      </c>
      <c r="AI34" s="277">
        <v>156</v>
      </c>
      <c r="AJ34" s="277">
        <v>183</v>
      </c>
      <c r="AK34" s="44" t="s">
        <v>11</v>
      </c>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CF34"/>
      <c r="CG34"/>
      <c r="CH34"/>
      <c r="CI34"/>
      <c r="CJ34"/>
    </row>
    <row r="35" spans="2:88" ht="14.1" customHeight="1">
      <c r="B35" s="373"/>
      <c r="C35" s="375"/>
      <c r="D35" s="74" t="s">
        <v>86</v>
      </c>
      <c r="E35" s="277">
        <v>230</v>
      </c>
      <c r="F35" s="277">
        <v>230</v>
      </c>
      <c r="G35" s="277">
        <v>230</v>
      </c>
      <c r="H35" s="277">
        <v>236</v>
      </c>
      <c r="I35" s="277">
        <v>236</v>
      </c>
      <c r="J35" s="277">
        <v>255</v>
      </c>
      <c r="K35" s="277">
        <v>255</v>
      </c>
      <c r="L35" s="277">
        <v>287</v>
      </c>
      <c r="M35" s="277">
        <v>287</v>
      </c>
      <c r="N35" s="277">
        <v>315</v>
      </c>
      <c r="O35" s="73"/>
      <c r="P35" s="277">
        <v>225</v>
      </c>
      <c r="Q35" s="277">
        <v>225</v>
      </c>
      <c r="R35" s="277">
        <v>225</v>
      </c>
      <c r="S35" s="277">
        <v>243</v>
      </c>
      <c r="T35" s="277">
        <v>243</v>
      </c>
      <c r="U35" s="277">
        <v>263</v>
      </c>
      <c r="V35" s="277">
        <v>263</v>
      </c>
      <c r="W35" s="277">
        <v>283</v>
      </c>
      <c r="X35" s="277">
        <v>283</v>
      </c>
      <c r="Y35" s="277">
        <v>302</v>
      </c>
      <c r="Z35" s="77"/>
      <c r="AA35" s="277">
        <v>132</v>
      </c>
      <c r="AB35" s="277">
        <v>157</v>
      </c>
      <c r="AC35" s="277">
        <v>157</v>
      </c>
      <c r="AD35" s="277">
        <v>187</v>
      </c>
      <c r="AE35" s="277">
        <v>187</v>
      </c>
      <c r="AF35" s="277">
        <v>223</v>
      </c>
      <c r="AG35" s="277">
        <v>223</v>
      </c>
      <c r="AH35" s="277">
        <v>258</v>
      </c>
      <c r="AI35" s="277">
        <v>258</v>
      </c>
      <c r="AJ35" s="277">
        <v>313</v>
      </c>
      <c r="AK35" s="44" t="s">
        <v>11</v>
      </c>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CF35"/>
      <c r="CG35"/>
      <c r="CH35"/>
      <c r="CI35"/>
      <c r="CJ35"/>
    </row>
    <row r="36" spans="2:88" ht="14.1" customHeight="1">
      <c r="B36" s="374" t="s">
        <v>402</v>
      </c>
      <c r="C36" s="375" t="s">
        <v>128</v>
      </c>
      <c r="D36" s="74" t="s">
        <v>87</v>
      </c>
      <c r="E36" s="349">
        <v>4</v>
      </c>
      <c r="F36" s="349">
        <v>4</v>
      </c>
      <c r="G36" s="349">
        <v>4</v>
      </c>
      <c r="H36" s="349">
        <v>4</v>
      </c>
      <c r="I36" s="349">
        <v>4</v>
      </c>
      <c r="J36" s="349">
        <v>4</v>
      </c>
      <c r="K36" s="349">
        <v>4</v>
      </c>
      <c r="L36" s="349">
        <v>4</v>
      </c>
      <c r="M36" s="349">
        <v>4</v>
      </c>
      <c r="N36" s="349">
        <v>4</v>
      </c>
      <c r="O36" s="73"/>
      <c r="P36" s="349">
        <v>3</v>
      </c>
      <c r="Q36" s="349">
        <v>3</v>
      </c>
      <c r="R36" s="349">
        <v>3</v>
      </c>
      <c r="S36" s="349">
        <v>3</v>
      </c>
      <c r="T36" s="349">
        <v>3</v>
      </c>
      <c r="U36" s="349">
        <v>3</v>
      </c>
      <c r="V36" s="349">
        <v>3</v>
      </c>
      <c r="W36" s="349">
        <v>3</v>
      </c>
      <c r="X36" s="349">
        <v>3</v>
      </c>
      <c r="Y36" s="349">
        <v>3</v>
      </c>
      <c r="Z36" s="77"/>
      <c r="AA36" s="349">
        <v>1.8</v>
      </c>
      <c r="AB36" s="349">
        <v>1.8</v>
      </c>
      <c r="AC36" s="349">
        <v>1.8</v>
      </c>
      <c r="AD36" s="349">
        <v>1.8</v>
      </c>
      <c r="AE36" s="349">
        <v>1.8</v>
      </c>
      <c r="AF36" s="349">
        <v>1.8</v>
      </c>
      <c r="AG36" s="349">
        <v>1.8</v>
      </c>
      <c r="AH36" s="349">
        <v>1.8</v>
      </c>
      <c r="AI36" s="349">
        <v>1.8</v>
      </c>
      <c r="AJ36" s="349">
        <v>1.8</v>
      </c>
      <c r="AK36" s="44" t="s">
        <v>11</v>
      </c>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CF36"/>
      <c r="CG36"/>
      <c r="CH36"/>
      <c r="CI36"/>
      <c r="CJ36"/>
    </row>
    <row r="37" spans="2:88" ht="14.1" customHeight="1">
      <c r="B37" s="374"/>
      <c r="C37" s="375"/>
      <c r="D37" s="74" t="s">
        <v>88</v>
      </c>
      <c r="E37" s="349">
        <v>4</v>
      </c>
      <c r="F37" s="349">
        <v>4</v>
      </c>
      <c r="G37" s="349">
        <v>4</v>
      </c>
      <c r="H37" s="349">
        <v>4</v>
      </c>
      <c r="I37" s="349">
        <v>4</v>
      </c>
      <c r="J37" s="349">
        <v>4</v>
      </c>
      <c r="K37" s="349">
        <v>4</v>
      </c>
      <c r="L37" s="349">
        <v>4</v>
      </c>
      <c r="M37" s="349">
        <v>4</v>
      </c>
      <c r="N37" s="349">
        <v>4</v>
      </c>
      <c r="O37" s="73"/>
      <c r="P37" s="349">
        <v>3</v>
      </c>
      <c r="Q37" s="349">
        <v>3</v>
      </c>
      <c r="R37" s="349">
        <v>3</v>
      </c>
      <c r="S37" s="349">
        <v>3</v>
      </c>
      <c r="T37" s="349">
        <v>3</v>
      </c>
      <c r="U37" s="349">
        <v>3</v>
      </c>
      <c r="V37" s="349">
        <v>3</v>
      </c>
      <c r="W37" s="349">
        <v>3</v>
      </c>
      <c r="X37" s="349">
        <v>3</v>
      </c>
      <c r="Y37" s="349">
        <v>3</v>
      </c>
      <c r="Z37" s="77"/>
      <c r="AA37" s="349">
        <v>1.8</v>
      </c>
      <c r="AB37" s="349">
        <v>1.8</v>
      </c>
      <c r="AC37" s="349">
        <v>1.8</v>
      </c>
      <c r="AD37" s="349">
        <v>1.8</v>
      </c>
      <c r="AE37" s="349">
        <v>1.8</v>
      </c>
      <c r="AF37" s="349">
        <v>1.8</v>
      </c>
      <c r="AG37" s="349">
        <v>1.8</v>
      </c>
      <c r="AH37" s="349">
        <v>1.8</v>
      </c>
      <c r="AI37" s="349">
        <v>1.8</v>
      </c>
      <c r="AJ37" s="349">
        <v>1.8</v>
      </c>
      <c r="AK37" s="44" t="s">
        <v>11</v>
      </c>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CF37"/>
      <c r="CG37"/>
      <c r="CH37"/>
      <c r="CI37"/>
      <c r="CJ37"/>
    </row>
    <row r="38" spans="2:88" ht="14.1" customHeight="1">
      <c r="B38" s="374"/>
      <c r="C38" s="375"/>
      <c r="D38" s="74" t="s">
        <v>86</v>
      </c>
      <c r="E38" s="349">
        <v>4</v>
      </c>
      <c r="F38" s="349">
        <v>4</v>
      </c>
      <c r="G38" s="349">
        <v>4</v>
      </c>
      <c r="H38" s="349">
        <v>4</v>
      </c>
      <c r="I38" s="349">
        <v>4</v>
      </c>
      <c r="J38" s="349">
        <v>4</v>
      </c>
      <c r="K38" s="349">
        <v>4</v>
      </c>
      <c r="L38" s="349">
        <v>4</v>
      </c>
      <c r="M38" s="349">
        <v>4</v>
      </c>
      <c r="N38" s="349">
        <v>4</v>
      </c>
      <c r="O38" s="73"/>
      <c r="P38" s="349">
        <v>4</v>
      </c>
      <c r="Q38" s="349">
        <v>4</v>
      </c>
      <c r="R38" s="349">
        <v>4</v>
      </c>
      <c r="S38" s="349">
        <v>4</v>
      </c>
      <c r="T38" s="349">
        <v>4</v>
      </c>
      <c r="U38" s="349">
        <v>4</v>
      </c>
      <c r="V38" s="349">
        <v>4</v>
      </c>
      <c r="W38" s="349">
        <v>4</v>
      </c>
      <c r="X38" s="349">
        <v>4</v>
      </c>
      <c r="Y38" s="349">
        <v>4</v>
      </c>
      <c r="Z38" s="77"/>
      <c r="AA38" s="349">
        <v>1.8</v>
      </c>
      <c r="AB38" s="349">
        <v>1.8</v>
      </c>
      <c r="AC38" s="349">
        <v>1.8</v>
      </c>
      <c r="AD38" s="349">
        <v>1.8</v>
      </c>
      <c r="AE38" s="349">
        <v>1.8</v>
      </c>
      <c r="AF38" s="349">
        <v>1.8</v>
      </c>
      <c r="AG38" s="349">
        <v>1.8</v>
      </c>
      <c r="AH38" s="349">
        <v>1.8</v>
      </c>
      <c r="AI38" s="349">
        <v>1.8</v>
      </c>
      <c r="AJ38" s="349">
        <v>1.8</v>
      </c>
      <c r="AK38" s="44" t="s">
        <v>11</v>
      </c>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CF38"/>
      <c r="CG38"/>
      <c r="CH38"/>
      <c r="CI38"/>
      <c r="CJ38"/>
    </row>
    <row r="39" spans="2:88" ht="14.1" customHeight="1">
      <c r="B39" s="373" t="s">
        <v>177</v>
      </c>
      <c r="C39" s="375" t="s">
        <v>129</v>
      </c>
      <c r="D39" s="74" t="s">
        <v>87</v>
      </c>
      <c r="E39" s="277">
        <v>117</v>
      </c>
      <c r="F39" s="277">
        <v>117</v>
      </c>
      <c r="G39" s="277">
        <v>117</v>
      </c>
      <c r="H39" s="277">
        <v>117</v>
      </c>
      <c r="I39" s="277">
        <v>117</v>
      </c>
      <c r="J39" s="277">
        <v>125</v>
      </c>
      <c r="K39" s="277">
        <v>125</v>
      </c>
      <c r="L39" s="277">
        <v>130</v>
      </c>
      <c r="M39" s="277">
        <v>130</v>
      </c>
      <c r="N39" s="277">
        <v>145</v>
      </c>
      <c r="O39" s="73"/>
      <c r="P39" s="277">
        <v>95</v>
      </c>
      <c r="Q39" s="277">
        <v>95</v>
      </c>
      <c r="R39" s="277">
        <v>95</v>
      </c>
      <c r="S39" s="277">
        <v>103</v>
      </c>
      <c r="T39" s="277">
        <v>103</v>
      </c>
      <c r="U39" s="277">
        <v>112</v>
      </c>
      <c r="V39" s="277">
        <v>112</v>
      </c>
      <c r="W39" s="277">
        <v>121</v>
      </c>
      <c r="X39" s="277">
        <v>121</v>
      </c>
      <c r="Y39" s="277">
        <v>130</v>
      </c>
      <c r="Z39" s="77"/>
      <c r="AA39" s="277">
        <v>62</v>
      </c>
      <c r="AB39" s="277">
        <v>73</v>
      </c>
      <c r="AC39" s="277">
        <v>73</v>
      </c>
      <c r="AD39" s="277">
        <v>87</v>
      </c>
      <c r="AE39" s="277">
        <v>87</v>
      </c>
      <c r="AF39" s="277">
        <v>104</v>
      </c>
      <c r="AG39" s="277">
        <v>104</v>
      </c>
      <c r="AH39" s="277">
        <v>122</v>
      </c>
      <c r="AI39" s="277">
        <v>122</v>
      </c>
      <c r="AJ39" s="277">
        <v>139</v>
      </c>
      <c r="AK39" s="44" t="s">
        <v>11</v>
      </c>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CF39"/>
      <c r="CG39"/>
      <c r="CH39"/>
      <c r="CI39"/>
      <c r="CJ39"/>
    </row>
    <row r="40" spans="2:88" ht="14.1" customHeight="1">
      <c r="B40" s="373"/>
      <c r="C40" s="375"/>
      <c r="D40" s="74" t="s">
        <v>88</v>
      </c>
      <c r="E40" s="277">
        <v>130</v>
      </c>
      <c r="F40" s="277">
        <v>130</v>
      </c>
      <c r="G40" s="277">
        <v>130</v>
      </c>
      <c r="H40" s="277">
        <v>130</v>
      </c>
      <c r="I40" s="277">
        <v>130</v>
      </c>
      <c r="J40" s="277">
        <v>140</v>
      </c>
      <c r="K40" s="277">
        <v>140</v>
      </c>
      <c r="L40" s="277">
        <v>155</v>
      </c>
      <c r="M40" s="277">
        <v>155</v>
      </c>
      <c r="N40" s="277">
        <v>169</v>
      </c>
      <c r="O40" s="73"/>
      <c r="P40" s="277">
        <v>115</v>
      </c>
      <c r="Q40" s="277">
        <v>115</v>
      </c>
      <c r="R40" s="277">
        <v>115</v>
      </c>
      <c r="S40" s="277">
        <v>123</v>
      </c>
      <c r="T40" s="277">
        <v>123</v>
      </c>
      <c r="U40" s="277">
        <v>132</v>
      </c>
      <c r="V40" s="277">
        <v>132</v>
      </c>
      <c r="W40" s="277">
        <v>141</v>
      </c>
      <c r="X40" s="277">
        <v>141</v>
      </c>
      <c r="Y40" s="277">
        <v>150</v>
      </c>
      <c r="Z40" s="77"/>
      <c r="AA40" s="277">
        <v>72</v>
      </c>
      <c r="AB40" s="277">
        <v>86</v>
      </c>
      <c r="AC40" s="277">
        <v>86</v>
      </c>
      <c r="AD40" s="277">
        <v>102</v>
      </c>
      <c r="AE40" s="277">
        <v>102</v>
      </c>
      <c r="AF40" s="277">
        <v>122</v>
      </c>
      <c r="AG40" s="277">
        <v>122</v>
      </c>
      <c r="AH40" s="277">
        <v>144</v>
      </c>
      <c r="AI40" s="277">
        <v>144</v>
      </c>
      <c r="AJ40" s="277">
        <v>185</v>
      </c>
      <c r="AK40" s="44" t="s">
        <v>11</v>
      </c>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CF40"/>
      <c r="CG40"/>
      <c r="CH40"/>
      <c r="CI40"/>
      <c r="CJ40"/>
    </row>
    <row r="41" spans="2:88" ht="14.1" customHeight="1">
      <c r="B41" s="373"/>
      <c r="C41" s="375"/>
      <c r="D41" s="74" t="s">
        <v>86</v>
      </c>
      <c r="E41" s="277">
        <v>175</v>
      </c>
      <c r="F41" s="277">
        <v>175</v>
      </c>
      <c r="G41" s="277">
        <v>175</v>
      </c>
      <c r="H41" s="277">
        <v>179</v>
      </c>
      <c r="I41" s="277">
        <v>179</v>
      </c>
      <c r="J41" s="277">
        <v>193</v>
      </c>
      <c r="K41" s="277">
        <v>193</v>
      </c>
      <c r="L41" s="277">
        <v>216</v>
      </c>
      <c r="M41" s="277">
        <v>216</v>
      </c>
      <c r="N41" s="277">
        <v>236</v>
      </c>
      <c r="O41" s="73"/>
      <c r="P41" s="277">
        <v>213</v>
      </c>
      <c r="Q41" s="277">
        <v>213</v>
      </c>
      <c r="R41" s="277">
        <v>213</v>
      </c>
      <c r="S41" s="277">
        <v>228</v>
      </c>
      <c r="T41" s="277">
        <v>228</v>
      </c>
      <c r="U41" s="277">
        <v>244</v>
      </c>
      <c r="V41" s="277">
        <v>244</v>
      </c>
      <c r="W41" s="277">
        <v>261</v>
      </c>
      <c r="X41" s="277">
        <v>261</v>
      </c>
      <c r="Y41" s="277">
        <v>278</v>
      </c>
      <c r="Z41" s="77"/>
      <c r="AA41" s="277">
        <v>116</v>
      </c>
      <c r="AB41" s="277">
        <v>138</v>
      </c>
      <c r="AC41" s="277">
        <v>138</v>
      </c>
      <c r="AD41" s="277">
        <v>164</v>
      </c>
      <c r="AE41" s="277">
        <v>164</v>
      </c>
      <c r="AF41" s="277">
        <v>195</v>
      </c>
      <c r="AG41" s="277">
        <v>195</v>
      </c>
      <c r="AH41" s="277">
        <v>235</v>
      </c>
      <c r="AI41" s="277">
        <v>235</v>
      </c>
      <c r="AJ41" s="277">
        <v>274</v>
      </c>
      <c r="AK41" s="44" t="s">
        <v>11</v>
      </c>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CF41"/>
      <c r="CG41"/>
      <c r="CH41"/>
      <c r="CI41"/>
      <c r="CJ41"/>
    </row>
    <row r="42" spans="2:88" ht="14.1" customHeight="1">
      <c r="B42" s="374" t="s">
        <v>403</v>
      </c>
      <c r="C42" s="375" t="s">
        <v>129</v>
      </c>
      <c r="D42" s="74" t="s">
        <v>87</v>
      </c>
      <c r="E42" s="349">
        <v>4</v>
      </c>
      <c r="F42" s="349">
        <v>4</v>
      </c>
      <c r="G42" s="349">
        <v>4</v>
      </c>
      <c r="H42" s="349">
        <v>4</v>
      </c>
      <c r="I42" s="349">
        <v>4</v>
      </c>
      <c r="J42" s="349">
        <v>4</v>
      </c>
      <c r="K42" s="349">
        <v>4</v>
      </c>
      <c r="L42" s="349">
        <v>4</v>
      </c>
      <c r="M42" s="349">
        <v>4</v>
      </c>
      <c r="N42" s="349">
        <v>4</v>
      </c>
      <c r="O42" s="73"/>
      <c r="P42" s="349">
        <v>3</v>
      </c>
      <c r="Q42" s="349">
        <v>3</v>
      </c>
      <c r="R42" s="349">
        <v>3</v>
      </c>
      <c r="S42" s="349">
        <v>3</v>
      </c>
      <c r="T42" s="349">
        <v>3</v>
      </c>
      <c r="U42" s="349">
        <v>3</v>
      </c>
      <c r="V42" s="349">
        <v>3</v>
      </c>
      <c r="W42" s="349">
        <v>3</v>
      </c>
      <c r="X42" s="349">
        <v>3</v>
      </c>
      <c r="Y42" s="349">
        <v>3</v>
      </c>
      <c r="Z42" s="77"/>
      <c r="AA42" s="349">
        <v>1.8</v>
      </c>
      <c r="AB42" s="349">
        <v>1.8</v>
      </c>
      <c r="AC42" s="349">
        <v>1.8</v>
      </c>
      <c r="AD42" s="349">
        <v>1.8</v>
      </c>
      <c r="AE42" s="349">
        <v>1.8</v>
      </c>
      <c r="AF42" s="349">
        <v>1.8</v>
      </c>
      <c r="AG42" s="349">
        <v>1.8</v>
      </c>
      <c r="AH42" s="349">
        <v>1.8</v>
      </c>
      <c r="AI42" s="349">
        <v>1.8</v>
      </c>
      <c r="AJ42" s="349">
        <v>1.8</v>
      </c>
      <c r="AK42" s="44" t="s">
        <v>11</v>
      </c>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CF42"/>
      <c r="CG42"/>
      <c r="CH42"/>
      <c r="CI42"/>
      <c r="CJ42"/>
    </row>
    <row r="43" spans="2:88" ht="14.1" customHeight="1">
      <c r="B43" s="374"/>
      <c r="C43" s="375"/>
      <c r="D43" s="74" t="s">
        <v>88</v>
      </c>
      <c r="E43" s="349">
        <v>4</v>
      </c>
      <c r="F43" s="349">
        <v>4</v>
      </c>
      <c r="G43" s="349">
        <v>4</v>
      </c>
      <c r="H43" s="349">
        <v>4</v>
      </c>
      <c r="I43" s="349">
        <v>4</v>
      </c>
      <c r="J43" s="349">
        <v>4</v>
      </c>
      <c r="K43" s="349">
        <v>4</v>
      </c>
      <c r="L43" s="349">
        <v>4</v>
      </c>
      <c r="M43" s="349">
        <v>4</v>
      </c>
      <c r="N43" s="349">
        <v>4</v>
      </c>
      <c r="O43" s="73"/>
      <c r="P43" s="349">
        <v>3</v>
      </c>
      <c r="Q43" s="349">
        <v>3</v>
      </c>
      <c r="R43" s="349">
        <v>3</v>
      </c>
      <c r="S43" s="349">
        <v>3</v>
      </c>
      <c r="T43" s="349">
        <v>3</v>
      </c>
      <c r="U43" s="349">
        <v>3</v>
      </c>
      <c r="V43" s="349">
        <v>3</v>
      </c>
      <c r="W43" s="349">
        <v>3</v>
      </c>
      <c r="X43" s="349">
        <v>3</v>
      </c>
      <c r="Y43" s="349">
        <v>3</v>
      </c>
      <c r="Z43" s="77"/>
      <c r="AA43" s="349">
        <v>1.8</v>
      </c>
      <c r="AB43" s="349">
        <v>1.8</v>
      </c>
      <c r="AC43" s="349">
        <v>1.8</v>
      </c>
      <c r="AD43" s="349">
        <v>1.8</v>
      </c>
      <c r="AE43" s="349">
        <v>1.8</v>
      </c>
      <c r="AF43" s="349">
        <v>1.8</v>
      </c>
      <c r="AG43" s="349">
        <v>1.8</v>
      </c>
      <c r="AH43" s="349">
        <v>1.8</v>
      </c>
      <c r="AI43" s="349">
        <v>1.8</v>
      </c>
      <c r="AJ43" s="349">
        <v>1.8</v>
      </c>
      <c r="AK43" s="44" t="s">
        <v>11</v>
      </c>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CF43"/>
      <c r="CG43"/>
      <c r="CH43"/>
      <c r="CI43"/>
      <c r="CJ43"/>
    </row>
    <row r="44" spans="2:88" ht="14.1" customHeight="1">
      <c r="B44" s="374"/>
      <c r="C44" s="375"/>
      <c r="D44" s="74" t="s">
        <v>86</v>
      </c>
      <c r="E44" s="349">
        <v>4</v>
      </c>
      <c r="F44" s="349">
        <v>4</v>
      </c>
      <c r="G44" s="349">
        <v>4</v>
      </c>
      <c r="H44" s="349">
        <v>4</v>
      </c>
      <c r="I44" s="349">
        <v>4</v>
      </c>
      <c r="J44" s="349">
        <v>4</v>
      </c>
      <c r="K44" s="349">
        <v>4</v>
      </c>
      <c r="L44" s="349">
        <v>4</v>
      </c>
      <c r="M44" s="349">
        <v>4</v>
      </c>
      <c r="N44" s="349">
        <v>4</v>
      </c>
      <c r="O44" s="73"/>
      <c r="P44" s="349">
        <v>4</v>
      </c>
      <c r="Q44" s="349">
        <v>4</v>
      </c>
      <c r="R44" s="349">
        <v>4</v>
      </c>
      <c r="S44" s="349">
        <v>4</v>
      </c>
      <c r="T44" s="349">
        <v>4</v>
      </c>
      <c r="U44" s="349">
        <v>4</v>
      </c>
      <c r="V44" s="349">
        <v>4</v>
      </c>
      <c r="W44" s="349">
        <v>4</v>
      </c>
      <c r="X44" s="349">
        <v>4</v>
      </c>
      <c r="Y44" s="349">
        <v>4</v>
      </c>
      <c r="Z44" s="77"/>
      <c r="AA44" s="349">
        <v>1.8</v>
      </c>
      <c r="AB44" s="349">
        <v>1.8</v>
      </c>
      <c r="AC44" s="349">
        <v>1.8</v>
      </c>
      <c r="AD44" s="349">
        <v>1.8</v>
      </c>
      <c r="AE44" s="349">
        <v>1.8</v>
      </c>
      <c r="AF44" s="349">
        <v>1.8</v>
      </c>
      <c r="AG44" s="349">
        <v>1.8</v>
      </c>
      <c r="AH44" s="349">
        <v>1.8</v>
      </c>
      <c r="AI44" s="349">
        <v>1.8</v>
      </c>
      <c r="AJ44" s="349">
        <v>1.8</v>
      </c>
      <c r="AK44" s="44" t="s">
        <v>11</v>
      </c>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CF44"/>
      <c r="CG44"/>
      <c r="CH44"/>
      <c r="CI44"/>
      <c r="CJ44"/>
    </row>
    <row r="45" spans="2:88" ht="14.1" customHeight="1">
      <c r="B45" s="373" t="s">
        <v>355</v>
      </c>
      <c r="C45" s="367" t="s">
        <v>130</v>
      </c>
      <c r="D45" s="74" t="s">
        <v>87</v>
      </c>
      <c r="E45" s="338">
        <v>296</v>
      </c>
      <c r="F45" s="338">
        <v>296</v>
      </c>
      <c r="G45" s="338">
        <v>296</v>
      </c>
      <c r="H45" s="338">
        <v>297</v>
      </c>
      <c r="I45" s="338">
        <v>297</v>
      </c>
      <c r="J45" s="338">
        <v>298</v>
      </c>
      <c r="K45" s="338">
        <v>298</v>
      </c>
      <c r="L45" s="338">
        <v>300</v>
      </c>
      <c r="M45" s="338">
        <v>300</v>
      </c>
      <c r="N45" s="338">
        <v>303</v>
      </c>
      <c r="O45" s="73"/>
      <c r="P45" s="277">
        <v>369</v>
      </c>
      <c r="Q45" s="277">
        <v>369</v>
      </c>
      <c r="R45" s="277">
        <v>369</v>
      </c>
      <c r="S45" s="338">
        <v>372.28571428571428</v>
      </c>
      <c r="T45" s="338">
        <v>372.28571428571428</v>
      </c>
      <c r="U45" s="338">
        <v>375.28571428571428</v>
      </c>
      <c r="V45" s="338">
        <v>375.28571428571428</v>
      </c>
      <c r="W45" s="338">
        <v>378.28571428571428</v>
      </c>
      <c r="X45" s="338">
        <v>378.28571428571428</v>
      </c>
      <c r="Y45" s="338">
        <v>381.28571428571428</v>
      </c>
      <c r="Z45" s="77"/>
      <c r="AA45" s="277">
        <v>574</v>
      </c>
      <c r="AB45" s="277">
        <v>574</v>
      </c>
      <c r="AC45" s="277">
        <v>574</v>
      </c>
      <c r="AD45" s="277">
        <v>574</v>
      </c>
      <c r="AE45" s="277">
        <v>574</v>
      </c>
      <c r="AF45" s="277">
        <v>574</v>
      </c>
      <c r="AG45" s="277">
        <v>574</v>
      </c>
      <c r="AH45" s="277">
        <v>574</v>
      </c>
      <c r="AI45" s="277">
        <v>574</v>
      </c>
      <c r="AJ45" s="277">
        <v>574</v>
      </c>
      <c r="AK45" s="44" t="s">
        <v>11</v>
      </c>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CF45"/>
      <c r="CG45"/>
      <c r="CH45"/>
      <c r="CI45"/>
      <c r="CJ45"/>
    </row>
    <row r="46" spans="2:88" ht="14.1" customHeight="1">
      <c r="B46" s="373"/>
      <c r="C46" s="368"/>
      <c r="D46" s="74" t="s">
        <v>88</v>
      </c>
      <c r="E46" s="338">
        <v>296</v>
      </c>
      <c r="F46" s="338">
        <v>296</v>
      </c>
      <c r="G46" s="338">
        <v>296</v>
      </c>
      <c r="H46" s="338">
        <v>297</v>
      </c>
      <c r="I46" s="338">
        <v>297</v>
      </c>
      <c r="J46" s="338">
        <v>298</v>
      </c>
      <c r="K46" s="338">
        <v>298</v>
      </c>
      <c r="L46" s="338">
        <v>300</v>
      </c>
      <c r="M46" s="338">
        <v>300</v>
      </c>
      <c r="N46" s="338">
        <v>303</v>
      </c>
      <c r="O46" s="73"/>
      <c r="P46" s="277">
        <v>369</v>
      </c>
      <c r="Q46" s="277">
        <v>369</v>
      </c>
      <c r="R46" s="277">
        <v>369</v>
      </c>
      <c r="S46" s="338">
        <v>372.28571428571428</v>
      </c>
      <c r="T46" s="338">
        <v>372.28571428571428</v>
      </c>
      <c r="U46" s="338">
        <v>375.28571428571428</v>
      </c>
      <c r="V46" s="338">
        <v>375.28571428571428</v>
      </c>
      <c r="W46" s="338">
        <v>378.28571428571428</v>
      </c>
      <c r="X46" s="338">
        <v>378.28571428571428</v>
      </c>
      <c r="Y46" s="338">
        <v>381.28571428571428</v>
      </c>
      <c r="Z46" s="77"/>
      <c r="AA46" s="277">
        <v>574</v>
      </c>
      <c r="AB46" s="277">
        <v>574</v>
      </c>
      <c r="AC46" s="277">
        <v>574</v>
      </c>
      <c r="AD46" s="277">
        <v>574</v>
      </c>
      <c r="AE46" s="277">
        <v>574</v>
      </c>
      <c r="AF46" s="277">
        <v>574</v>
      </c>
      <c r="AG46" s="277">
        <v>574</v>
      </c>
      <c r="AH46" s="277">
        <v>574</v>
      </c>
      <c r="AI46" s="277">
        <v>574</v>
      </c>
      <c r="AJ46" s="277">
        <v>574</v>
      </c>
      <c r="AK46" s="44" t="s">
        <v>11</v>
      </c>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CF46"/>
      <c r="CG46"/>
      <c r="CH46"/>
      <c r="CI46"/>
      <c r="CJ46"/>
    </row>
    <row r="47" spans="2:88" ht="14.1" customHeight="1">
      <c r="B47" s="373"/>
      <c r="C47" s="369"/>
      <c r="D47" s="74" t="s">
        <v>86</v>
      </c>
      <c r="E47" s="338">
        <v>296</v>
      </c>
      <c r="F47" s="338">
        <v>296</v>
      </c>
      <c r="G47" s="338">
        <v>296</v>
      </c>
      <c r="H47" s="338">
        <v>297</v>
      </c>
      <c r="I47" s="338">
        <v>297</v>
      </c>
      <c r="J47" s="338">
        <v>298</v>
      </c>
      <c r="K47" s="338">
        <v>298</v>
      </c>
      <c r="L47" s="338">
        <v>300</v>
      </c>
      <c r="M47" s="338">
        <v>300</v>
      </c>
      <c r="N47" s="338">
        <v>303</v>
      </c>
      <c r="O47" s="73"/>
      <c r="P47" s="277">
        <v>369</v>
      </c>
      <c r="Q47" s="277">
        <v>369</v>
      </c>
      <c r="R47" s="277">
        <v>369</v>
      </c>
      <c r="S47" s="338">
        <v>372.28571428571428</v>
      </c>
      <c r="T47" s="338">
        <v>372.28571428571428</v>
      </c>
      <c r="U47" s="338">
        <v>375.28571428571428</v>
      </c>
      <c r="V47" s="338">
        <v>375.28571428571428</v>
      </c>
      <c r="W47" s="338">
        <v>378.28571428571428</v>
      </c>
      <c r="X47" s="338">
        <v>378.28571428571428</v>
      </c>
      <c r="Y47" s="338">
        <v>381.28571428571428</v>
      </c>
      <c r="Z47" s="77"/>
      <c r="AA47" s="277">
        <v>574</v>
      </c>
      <c r="AB47" s="277">
        <v>574</v>
      </c>
      <c r="AC47" s="277">
        <v>574</v>
      </c>
      <c r="AD47" s="277">
        <v>574</v>
      </c>
      <c r="AE47" s="277">
        <v>574</v>
      </c>
      <c r="AF47" s="277">
        <v>574</v>
      </c>
      <c r="AG47" s="277">
        <v>574</v>
      </c>
      <c r="AH47" s="277">
        <v>574</v>
      </c>
      <c r="AI47" s="277">
        <v>574</v>
      </c>
      <c r="AJ47" s="277">
        <v>574</v>
      </c>
      <c r="AK47" s="44" t="s">
        <v>11</v>
      </c>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CF47"/>
      <c r="CG47"/>
      <c r="CH47"/>
      <c r="CI47"/>
      <c r="CJ47"/>
    </row>
    <row r="48" spans="2:88" ht="14.1" customHeight="1">
      <c r="B48" s="374" t="s">
        <v>404</v>
      </c>
      <c r="C48" s="367" t="s">
        <v>130</v>
      </c>
      <c r="D48" s="74" t="s">
        <v>87</v>
      </c>
      <c r="E48" s="350">
        <v>63</v>
      </c>
      <c r="F48" s="350">
        <v>63</v>
      </c>
      <c r="G48" s="350">
        <v>63</v>
      </c>
      <c r="H48" s="350">
        <v>63</v>
      </c>
      <c r="I48" s="350">
        <v>63</v>
      </c>
      <c r="J48" s="350">
        <v>63</v>
      </c>
      <c r="K48" s="350">
        <v>63</v>
      </c>
      <c r="L48" s="350">
        <v>63</v>
      </c>
      <c r="M48" s="350">
        <v>63</v>
      </c>
      <c r="N48" s="350">
        <v>63</v>
      </c>
      <c r="O48" s="73"/>
      <c r="P48" s="349">
        <v>48</v>
      </c>
      <c r="Q48" s="349">
        <v>48</v>
      </c>
      <c r="R48" s="349">
        <v>48</v>
      </c>
      <c r="S48" s="350">
        <v>47.571428571428569</v>
      </c>
      <c r="T48" s="350">
        <v>47.571428571428569</v>
      </c>
      <c r="U48" s="350">
        <v>47.571428571428569</v>
      </c>
      <c r="V48" s="350">
        <v>47.571428571428569</v>
      </c>
      <c r="W48" s="350">
        <v>47.571428571428569</v>
      </c>
      <c r="X48" s="350">
        <v>47.571428571428569</v>
      </c>
      <c r="Y48" s="350">
        <v>47.571428571428569</v>
      </c>
      <c r="Z48" s="77"/>
      <c r="AA48" s="349">
        <v>28.5</v>
      </c>
      <c r="AB48" s="349">
        <v>28.5</v>
      </c>
      <c r="AC48" s="349">
        <v>28.5</v>
      </c>
      <c r="AD48" s="349">
        <v>28.5</v>
      </c>
      <c r="AE48" s="349">
        <v>28.5</v>
      </c>
      <c r="AF48" s="349">
        <v>28.5</v>
      </c>
      <c r="AG48" s="349">
        <v>28.5</v>
      </c>
      <c r="AH48" s="349">
        <v>28.5</v>
      </c>
      <c r="AI48" s="349">
        <v>28.5</v>
      </c>
      <c r="AJ48" s="349">
        <v>28.5</v>
      </c>
      <c r="AK48" s="44" t="s">
        <v>11</v>
      </c>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CF48"/>
      <c r="CG48"/>
      <c r="CH48"/>
      <c r="CI48"/>
      <c r="CJ48"/>
    </row>
    <row r="49" spans="2:88" ht="14.1" customHeight="1">
      <c r="B49" s="374"/>
      <c r="C49" s="368"/>
      <c r="D49" s="74" t="s">
        <v>88</v>
      </c>
      <c r="E49" s="350">
        <v>63</v>
      </c>
      <c r="F49" s="350">
        <v>63</v>
      </c>
      <c r="G49" s="350">
        <v>63</v>
      </c>
      <c r="H49" s="350">
        <v>63</v>
      </c>
      <c r="I49" s="350">
        <v>63</v>
      </c>
      <c r="J49" s="350">
        <v>63</v>
      </c>
      <c r="K49" s="350">
        <v>63</v>
      </c>
      <c r="L49" s="350">
        <v>63</v>
      </c>
      <c r="M49" s="350">
        <v>63</v>
      </c>
      <c r="N49" s="350">
        <v>63</v>
      </c>
      <c r="O49" s="73"/>
      <c r="P49" s="349">
        <v>48</v>
      </c>
      <c r="Q49" s="349">
        <v>48</v>
      </c>
      <c r="R49" s="349">
        <v>48</v>
      </c>
      <c r="S49" s="350">
        <v>47.571428571428569</v>
      </c>
      <c r="T49" s="350">
        <v>47.571428571428569</v>
      </c>
      <c r="U49" s="350">
        <v>47.571428571428569</v>
      </c>
      <c r="V49" s="350">
        <v>47.571428571428569</v>
      </c>
      <c r="W49" s="350">
        <v>47.571428571428569</v>
      </c>
      <c r="X49" s="350">
        <v>47.571428571428569</v>
      </c>
      <c r="Y49" s="350">
        <v>47.571428571428569</v>
      </c>
      <c r="Z49" s="77"/>
      <c r="AA49" s="349">
        <v>28.5</v>
      </c>
      <c r="AB49" s="349">
        <v>28.5</v>
      </c>
      <c r="AC49" s="349">
        <v>28.5</v>
      </c>
      <c r="AD49" s="349">
        <v>28.5</v>
      </c>
      <c r="AE49" s="349">
        <v>28.5</v>
      </c>
      <c r="AF49" s="349">
        <v>28.5</v>
      </c>
      <c r="AG49" s="349">
        <v>28.5</v>
      </c>
      <c r="AH49" s="349">
        <v>28.5</v>
      </c>
      <c r="AI49" s="349">
        <v>28.5</v>
      </c>
      <c r="AJ49" s="349">
        <v>28.5</v>
      </c>
      <c r="AK49" s="44" t="s">
        <v>11</v>
      </c>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CF49"/>
      <c r="CG49"/>
      <c r="CH49"/>
      <c r="CI49"/>
      <c r="CJ49"/>
    </row>
    <row r="50" spans="2:88" ht="14.1" customHeight="1">
      <c r="B50" s="374"/>
      <c r="C50" s="369"/>
      <c r="D50" s="74" t="s">
        <v>86</v>
      </c>
      <c r="E50" s="350">
        <v>63</v>
      </c>
      <c r="F50" s="350">
        <v>63</v>
      </c>
      <c r="G50" s="350">
        <v>63</v>
      </c>
      <c r="H50" s="350">
        <v>63</v>
      </c>
      <c r="I50" s="350">
        <v>63</v>
      </c>
      <c r="J50" s="350">
        <v>63</v>
      </c>
      <c r="K50" s="350">
        <v>63</v>
      </c>
      <c r="L50" s="350">
        <v>63</v>
      </c>
      <c r="M50" s="350">
        <v>63</v>
      </c>
      <c r="N50" s="350">
        <v>63</v>
      </c>
      <c r="O50" s="73"/>
      <c r="P50" s="349">
        <v>48</v>
      </c>
      <c r="Q50" s="349">
        <v>48</v>
      </c>
      <c r="R50" s="349">
        <v>48</v>
      </c>
      <c r="S50" s="350">
        <v>47.571428571428569</v>
      </c>
      <c r="T50" s="350">
        <v>47.571428571428569</v>
      </c>
      <c r="U50" s="350">
        <v>47.571428571428569</v>
      </c>
      <c r="V50" s="350">
        <v>47.571428571428569</v>
      </c>
      <c r="W50" s="350">
        <v>47.571428571428569</v>
      </c>
      <c r="X50" s="350">
        <v>47.571428571428569</v>
      </c>
      <c r="Y50" s="350">
        <v>47.571428571428569</v>
      </c>
      <c r="Z50" s="77"/>
      <c r="AA50" s="349">
        <v>28.5</v>
      </c>
      <c r="AB50" s="349">
        <v>28.5</v>
      </c>
      <c r="AC50" s="349">
        <v>28.5</v>
      </c>
      <c r="AD50" s="349">
        <v>28.5</v>
      </c>
      <c r="AE50" s="349">
        <v>28.5</v>
      </c>
      <c r="AF50" s="349">
        <v>28.5</v>
      </c>
      <c r="AG50" s="349">
        <v>28.5</v>
      </c>
      <c r="AH50" s="349">
        <v>28.5</v>
      </c>
      <c r="AI50" s="349">
        <v>28.5</v>
      </c>
      <c r="AJ50" s="349">
        <v>28.5</v>
      </c>
      <c r="AK50" s="44" t="s">
        <v>11</v>
      </c>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CF50"/>
      <c r="CG50"/>
      <c r="CH50"/>
      <c r="CI50"/>
      <c r="CJ50"/>
    </row>
    <row r="51" spans="2:88" ht="15">
      <c r="B51" s="301"/>
      <c r="C51" s="302"/>
      <c r="D51" s="303"/>
      <c r="E51" s="303"/>
      <c r="F51" s="303"/>
      <c r="G51" s="303"/>
      <c r="H51" s="303"/>
      <c r="I51" s="303"/>
      <c r="J51" s="303"/>
      <c r="K51" s="303"/>
      <c r="L51" s="303"/>
      <c r="M51" s="78"/>
      <c r="N51" s="79"/>
      <c r="O51" s="73"/>
      <c r="P51" s="312"/>
      <c r="Q51" s="303"/>
      <c r="R51" s="303"/>
      <c r="S51" s="312"/>
      <c r="T51" s="312"/>
      <c r="U51" s="312"/>
      <c r="V51" s="312"/>
      <c r="W51" s="312"/>
      <c r="X51" s="312"/>
      <c r="Y51" s="312"/>
      <c r="Z51" s="77"/>
      <c r="AA51" s="312"/>
      <c r="AB51" s="312"/>
      <c r="AC51" s="312"/>
      <c r="AD51" s="312"/>
      <c r="AE51" s="312"/>
      <c r="AF51" s="312"/>
      <c r="AG51" s="312"/>
      <c r="AH51" s="312"/>
      <c r="AI51" s="312"/>
      <c r="AJ51" s="312"/>
      <c r="AK51" s="45"/>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CF51"/>
      <c r="CG51"/>
      <c r="CH51"/>
      <c r="CI51"/>
      <c r="CJ51"/>
    </row>
    <row r="52" spans="2:88" ht="30.75" customHeight="1">
      <c r="B52" s="59"/>
      <c r="C52" s="383" t="s">
        <v>157</v>
      </c>
      <c r="D52" s="383"/>
      <c r="E52" s="212">
        <f>2000/E5-0.001</f>
        <v>1.0708113612004289</v>
      </c>
      <c r="F52" s="212">
        <f>2000/F5-0.001</f>
        <v>0.93664650726676046</v>
      </c>
      <c r="G52" s="212">
        <f>2000/G5-0.001</f>
        <v>0.93664650726676046</v>
      </c>
      <c r="H52" s="212">
        <f>2000/H5</f>
        <v>0.83333333333333337</v>
      </c>
      <c r="I52" s="212">
        <f>2000/I5</f>
        <v>0.83333333333333337</v>
      </c>
      <c r="J52" s="212">
        <f>2000/J5</f>
        <v>0.75018754688672173</v>
      </c>
      <c r="K52" s="212">
        <f>2000/K5</f>
        <v>0.75018754688672173</v>
      </c>
      <c r="L52" s="212">
        <f t="shared" ref="L52:N52" si="0">2000/L5</f>
        <v>0.68189566996249573</v>
      </c>
      <c r="M52" s="212">
        <f t="shared" si="0"/>
        <v>0.68189566996249573</v>
      </c>
      <c r="N52" s="212">
        <f t="shared" si="0"/>
        <v>0.625</v>
      </c>
      <c r="O52" s="73"/>
      <c r="P52" s="212">
        <f>2000/P5-0.001</f>
        <v>1.0708113612004289</v>
      </c>
      <c r="Q52" s="212">
        <f>2000/Q5-0.001</f>
        <v>0.93664650726676046</v>
      </c>
      <c r="R52" s="212">
        <f>2000/R5-0.001</f>
        <v>0.93664650726676046</v>
      </c>
      <c r="S52" s="212">
        <f t="shared" ref="S52:T52" si="1">2000/S5</f>
        <v>0.83333333333333337</v>
      </c>
      <c r="T52" s="212">
        <f t="shared" si="1"/>
        <v>0.83333333333333337</v>
      </c>
      <c r="U52" s="212">
        <v>0.75018754688672173</v>
      </c>
      <c r="V52" s="212">
        <v>0.75018754688672173</v>
      </c>
      <c r="W52" s="212">
        <f t="shared" ref="W52:Y52" si="2">2000/W5</f>
        <v>0.68189566996249573</v>
      </c>
      <c r="X52" s="212">
        <f t="shared" si="2"/>
        <v>0.68189566996249573</v>
      </c>
      <c r="Y52" s="212">
        <f t="shared" si="2"/>
        <v>0.625</v>
      </c>
      <c r="Z52" s="76"/>
      <c r="AA52" s="212">
        <f>2000/AA5-0.001</f>
        <v>1.0708113612004289</v>
      </c>
      <c r="AB52" s="212">
        <f>2000/AB5-0.001</f>
        <v>0.93664650726676046</v>
      </c>
      <c r="AC52" s="212">
        <f>2000/AC5-0.001</f>
        <v>0.93664650726676046</v>
      </c>
      <c r="AD52" s="212">
        <f t="shared" ref="AD52:AJ52" si="3">2000/AD5</f>
        <v>0.83333333333333337</v>
      </c>
      <c r="AE52" s="212">
        <f t="shared" si="3"/>
        <v>0.83333333333333337</v>
      </c>
      <c r="AF52" s="212">
        <f t="shared" si="3"/>
        <v>0.75018754688672173</v>
      </c>
      <c r="AG52" s="212">
        <f t="shared" si="3"/>
        <v>0.75018754688672173</v>
      </c>
      <c r="AH52" s="212">
        <f t="shared" si="3"/>
        <v>0.68189566996249573</v>
      </c>
      <c r="AI52" s="212">
        <f t="shared" si="3"/>
        <v>0.68189566996249573</v>
      </c>
      <c r="AJ52" s="212">
        <f t="shared" si="3"/>
        <v>0.625</v>
      </c>
      <c r="AK52" s="44" t="s">
        <v>31</v>
      </c>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CF52"/>
      <c r="CG52"/>
      <c r="CH52"/>
      <c r="CI52"/>
      <c r="CJ52"/>
    </row>
    <row r="53" spans="2:88" ht="14.1" customHeight="1">
      <c r="B53" s="377" t="s">
        <v>239</v>
      </c>
      <c r="C53" s="367" t="s">
        <v>240</v>
      </c>
      <c r="D53" s="74" t="s">
        <v>87</v>
      </c>
      <c r="E53" s="75">
        <v>4.2</v>
      </c>
      <c r="F53" s="75">
        <v>3.7</v>
      </c>
      <c r="G53" s="75">
        <v>3.7</v>
      </c>
      <c r="H53" s="75">
        <v>3.3</v>
      </c>
      <c r="I53" s="75">
        <v>3.3</v>
      </c>
      <c r="J53" s="278">
        <v>3</v>
      </c>
      <c r="K53" s="278">
        <v>3</v>
      </c>
      <c r="L53" s="278">
        <v>2.7</v>
      </c>
      <c r="M53" s="278">
        <v>2.7</v>
      </c>
      <c r="N53" s="278">
        <v>2.5</v>
      </c>
      <c r="O53" s="76"/>
      <c r="P53" s="75">
        <v>4.2</v>
      </c>
      <c r="Q53" s="75">
        <v>3.7</v>
      </c>
      <c r="R53" s="75">
        <v>3.7</v>
      </c>
      <c r="S53" s="75">
        <v>3.3</v>
      </c>
      <c r="T53" s="75">
        <v>3.3</v>
      </c>
      <c r="U53" s="278">
        <v>3</v>
      </c>
      <c r="V53" s="278">
        <v>3</v>
      </c>
      <c r="W53" s="278">
        <v>2.7</v>
      </c>
      <c r="X53" s="278">
        <v>2.7</v>
      </c>
      <c r="Y53" s="278">
        <v>2.5</v>
      </c>
      <c r="Z53" s="76"/>
      <c r="AA53" s="75">
        <v>4.2</v>
      </c>
      <c r="AB53" s="75">
        <v>3.7</v>
      </c>
      <c r="AC53" s="75">
        <v>3.7</v>
      </c>
      <c r="AD53" s="75">
        <v>3.3</v>
      </c>
      <c r="AE53" s="75">
        <v>3.3</v>
      </c>
      <c r="AF53" s="278">
        <v>3</v>
      </c>
      <c r="AG53" s="278">
        <v>3</v>
      </c>
      <c r="AH53" s="278">
        <v>2.7</v>
      </c>
      <c r="AI53" s="278">
        <v>2.7</v>
      </c>
      <c r="AJ53" s="278">
        <v>2.5</v>
      </c>
      <c r="AK53" s="44" t="s">
        <v>31</v>
      </c>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CF53"/>
      <c r="CG53"/>
      <c r="CH53"/>
      <c r="CI53"/>
      <c r="CJ53"/>
    </row>
    <row r="54" spans="2:88" ht="14.1" customHeight="1">
      <c r="B54" s="378"/>
      <c r="C54" s="368"/>
      <c r="D54" s="74" t="s">
        <v>88</v>
      </c>
      <c r="E54" s="75">
        <v>4.2</v>
      </c>
      <c r="F54" s="75">
        <v>3.7</v>
      </c>
      <c r="G54" s="75">
        <v>3.7</v>
      </c>
      <c r="H54" s="75">
        <v>3.3</v>
      </c>
      <c r="I54" s="75">
        <v>3.3</v>
      </c>
      <c r="J54" s="278">
        <v>3</v>
      </c>
      <c r="K54" s="278">
        <v>3</v>
      </c>
      <c r="L54" s="278">
        <v>2.7</v>
      </c>
      <c r="M54" s="278">
        <v>2.7</v>
      </c>
      <c r="N54" s="278">
        <v>2.5</v>
      </c>
      <c r="O54" s="76"/>
      <c r="P54" s="75">
        <v>4.2</v>
      </c>
      <c r="Q54" s="75">
        <v>3.7</v>
      </c>
      <c r="R54" s="75">
        <v>3.7</v>
      </c>
      <c r="S54" s="75">
        <v>3.3</v>
      </c>
      <c r="T54" s="75">
        <v>3.3</v>
      </c>
      <c r="U54" s="278">
        <v>3</v>
      </c>
      <c r="V54" s="278">
        <v>3</v>
      </c>
      <c r="W54" s="278">
        <v>2.7</v>
      </c>
      <c r="X54" s="278">
        <v>2.7</v>
      </c>
      <c r="Y54" s="278">
        <v>2.5</v>
      </c>
      <c r="Z54" s="76"/>
      <c r="AA54" s="75">
        <v>4.2</v>
      </c>
      <c r="AB54" s="75">
        <v>3.7</v>
      </c>
      <c r="AC54" s="75">
        <v>3.7</v>
      </c>
      <c r="AD54" s="75">
        <v>3.3</v>
      </c>
      <c r="AE54" s="75">
        <v>3.3</v>
      </c>
      <c r="AF54" s="278">
        <v>3</v>
      </c>
      <c r="AG54" s="278">
        <v>3</v>
      </c>
      <c r="AH54" s="278">
        <v>2.7</v>
      </c>
      <c r="AI54" s="278">
        <v>2.7</v>
      </c>
      <c r="AJ54" s="278">
        <v>2.5</v>
      </c>
      <c r="AK54" s="44" t="s">
        <v>31</v>
      </c>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CF54"/>
      <c r="CG54"/>
      <c r="CH54"/>
      <c r="CI54"/>
      <c r="CJ54"/>
    </row>
    <row r="55" spans="2:88" ht="14.1" customHeight="1">
      <c r="B55" s="379"/>
      <c r="C55" s="369"/>
      <c r="D55" s="74" t="s">
        <v>86</v>
      </c>
      <c r="E55" s="75">
        <v>5.3</v>
      </c>
      <c r="F55" s="75">
        <v>5.3</v>
      </c>
      <c r="G55" s="75">
        <v>5.3</v>
      </c>
      <c r="H55" s="75">
        <v>5.3</v>
      </c>
      <c r="I55" s="75">
        <v>5.3</v>
      </c>
      <c r="J55" s="278">
        <v>5.3</v>
      </c>
      <c r="K55" s="278">
        <v>5.3</v>
      </c>
      <c r="L55" s="278">
        <v>5.3</v>
      </c>
      <c r="M55" s="278">
        <v>5.3</v>
      </c>
      <c r="N55" s="278">
        <v>5.3</v>
      </c>
      <c r="O55" s="76"/>
      <c r="P55" s="75">
        <v>5.3</v>
      </c>
      <c r="Q55" s="75">
        <v>5.3</v>
      </c>
      <c r="R55" s="75">
        <v>5.3</v>
      </c>
      <c r="S55" s="75">
        <v>5.3</v>
      </c>
      <c r="T55" s="75">
        <v>5.3</v>
      </c>
      <c r="U55" s="278">
        <v>5.3</v>
      </c>
      <c r="V55" s="278">
        <v>5.3</v>
      </c>
      <c r="W55" s="278">
        <v>5.3</v>
      </c>
      <c r="X55" s="278">
        <v>5.3</v>
      </c>
      <c r="Y55" s="278">
        <v>5.3</v>
      </c>
      <c r="Z55" s="76"/>
      <c r="AA55" s="75">
        <v>5.3</v>
      </c>
      <c r="AB55" s="75">
        <v>5.3</v>
      </c>
      <c r="AC55" s="75">
        <v>5.3</v>
      </c>
      <c r="AD55" s="75">
        <v>5.3</v>
      </c>
      <c r="AE55" s="75">
        <v>5.3</v>
      </c>
      <c r="AF55" s="278">
        <v>5.3</v>
      </c>
      <c r="AG55" s="278">
        <v>5.3</v>
      </c>
      <c r="AH55" s="278">
        <v>5.3</v>
      </c>
      <c r="AI55" s="278">
        <v>5.3</v>
      </c>
      <c r="AJ55" s="278">
        <v>5.3</v>
      </c>
      <c r="AK55" s="44" t="s">
        <v>31</v>
      </c>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CF55"/>
      <c r="CG55"/>
      <c r="CH55"/>
      <c r="CI55"/>
      <c r="CJ55"/>
    </row>
    <row r="56" spans="2:88" ht="14.1" customHeight="1">
      <c r="B56" s="377" t="s">
        <v>241</v>
      </c>
      <c r="C56" s="367" t="s">
        <v>242</v>
      </c>
      <c r="D56" s="74" t="s">
        <v>87</v>
      </c>
      <c r="E56" s="75">
        <v>5.3</v>
      </c>
      <c r="F56" s="75">
        <v>5.3</v>
      </c>
      <c r="G56" s="75">
        <v>5.3</v>
      </c>
      <c r="H56" s="75">
        <v>4.9000000000000004</v>
      </c>
      <c r="I56" s="75">
        <v>4.9000000000000004</v>
      </c>
      <c r="J56" s="278">
        <v>4.9000000000000004</v>
      </c>
      <c r="K56" s="278">
        <v>4.9000000000000004</v>
      </c>
      <c r="L56" s="278">
        <v>4.9000000000000004</v>
      </c>
      <c r="M56" s="278">
        <v>4.9000000000000004</v>
      </c>
      <c r="N56" s="278">
        <v>4.9000000000000004</v>
      </c>
      <c r="O56" s="76"/>
      <c r="P56" s="75">
        <v>5.3</v>
      </c>
      <c r="Q56" s="75">
        <v>5.3</v>
      </c>
      <c r="R56" s="75">
        <v>5.3</v>
      </c>
      <c r="S56" s="75">
        <v>4.9000000000000004</v>
      </c>
      <c r="T56" s="75">
        <v>4.9000000000000004</v>
      </c>
      <c r="U56" s="278">
        <v>4.9000000000000004</v>
      </c>
      <c r="V56" s="278">
        <v>4.9000000000000004</v>
      </c>
      <c r="W56" s="278">
        <v>4.9000000000000004</v>
      </c>
      <c r="X56" s="278">
        <v>4.9000000000000004</v>
      </c>
      <c r="Y56" s="278">
        <v>4.9000000000000004</v>
      </c>
      <c r="Z56" s="76"/>
      <c r="AA56" s="75">
        <v>5.3</v>
      </c>
      <c r="AB56" s="75">
        <v>5.3</v>
      </c>
      <c r="AC56" s="75">
        <v>5.3</v>
      </c>
      <c r="AD56" s="75">
        <v>4.9000000000000004</v>
      </c>
      <c r="AE56" s="75">
        <v>4.9000000000000004</v>
      </c>
      <c r="AF56" s="278">
        <v>4.9000000000000004</v>
      </c>
      <c r="AG56" s="278">
        <v>4.9000000000000004</v>
      </c>
      <c r="AH56" s="278">
        <v>4.9000000000000004</v>
      </c>
      <c r="AI56" s="278">
        <v>4.9000000000000004</v>
      </c>
      <c r="AJ56" s="278">
        <v>4.9000000000000004</v>
      </c>
      <c r="AK56" s="44" t="s">
        <v>31</v>
      </c>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CF56"/>
      <c r="CG56"/>
      <c r="CH56"/>
      <c r="CI56"/>
      <c r="CJ56"/>
    </row>
    <row r="57" spans="2:88" ht="14.1" customHeight="1">
      <c r="B57" s="378"/>
      <c r="C57" s="368"/>
      <c r="D57" s="74" t="s">
        <v>88</v>
      </c>
      <c r="E57" s="75">
        <v>5.3</v>
      </c>
      <c r="F57" s="75">
        <v>5.3</v>
      </c>
      <c r="G57" s="75">
        <v>5.3</v>
      </c>
      <c r="H57" s="75">
        <v>4.9000000000000004</v>
      </c>
      <c r="I57" s="75">
        <v>4.9000000000000004</v>
      </c>
      <c r="J57" s="278">
        <v>4.9000000000000004</v>
      </c>
      <c r="K57" s="278">
        <v>4.9000000000000004</v>
      </c>
      <c r="L57" s="278">
        <v>4.9000000000000004</v>
      </c>
      <c r="M57" s="278">
        <v>4.9000000000000004</v>
      </c>
      <c r="N57" s="278">
        <v>4.9000000000000004</v>
      </c>
      <c r="O57" s="76"/>
      <c r="P57" s="75">
        <v>5.3</v>
      </c>
      <c r="Q57" s="75">
        <v>5.3</v>
      </c>
      <c r="R57" s="75">
        <v>5.3</v>
      </c>
      <c r="S57" s="75">
        <v>4.9000000000000004</v>
      </c>
      <c r="T57" s="75">
        <v>4.9000000000000004</v>
      </c>
      <c r="U57" s="278">
        <v>4.9000000000000004</v>
      </c>
      <c r="V57" s="278">
        <v>4.9000000000000004</v>
      </c>
      <c r="W57" s="278">
        <v>4.9000000000000004</v>
      </c>
      <c r="X57" s="278">
        <v>4.9000000000000004</v>
      </c>
      <c r="Y57" s="278">
        <v>4.9000000000000004</v>
      </c>
      <c r="Z57" s="76"/>
      <c r="AA57" s="75">
        <v>5.3</v>
      </c>
      <c r="AB57" s="75">
        <v>5.3</v>
      </c>
      <c r="AC57" s="75">
        <v>5.3</v>
      </c>
      <c r="AD57" s="75">
        <v>4.9000000000000004</v>
      </c>
      <c r="AE57" s="75">
        <v>4.9000000000000004</v>
      </c>
      <c r="AF57" s="278">
        <v>4.9000000000000004</v>
      </c>
      <c r="AG57" s="278">
        <v>4.9000000000000004</v>
      </c>
      <c r="AH57" s="278">
        <v>4.9000000000000004</v>
      </c>
      <c r="AI57" s="278">
        <v>4.9000000000000004</v>
      </c>
      <c r="AJ57" s="278">
        <v>4.9000000000000004</v>
      </c>
      <c r="AK57" s="44" t="s">
        <v>31</v>
      </c>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CF57"/>
      <c r="CG57"/>
      <c r="CH57"/>
      <c r="CI57"/>
      <c r="CJ57"/>
    </row>
    <row r="58" spans="2:88" ht="14.1" customHeight="1">
      <c r="B58" s="379"/>
      <c r="C58" s="369"/>
      <c r="D58" s="74" t="s">
        <v>86</v>
      </c>
      <c r="E58" s="75">
        <v>6.4</v>
      </c>
      <c r="F58" s="75">
        <v>6.4</v>
      </c>
      <c r="G58" s="75">
        <v>6.4</v>
      </c>
      <c r="H58" s="75">
        <v>6.4</v>
      </c>
      <c r="I58" s="75">
        <v>6.4</v>
      </c>
      <c r="J58" s="278">
        <v>6.4</v>
      </c>
      <c r="K58" s="278">
        <v>6.4</v>
      </c>
      <c r="L58" s="278">
        <v>6.4</v>
      </c>
      <c r="M58" s="278">
        <v>6.4</v>
      </c>
      <c r="N58" s="278">
        <v>6.4</v>
      </c>
      <c r="O58" s="76"/>
      <c r="P58" s="75">
        <v>6.4</v>
      </c>
      <c r="Q58" s="75">
        <v>6.4</v>
      </c>
      <c r="R58" s="75">
        <v>6.4</v>
      </c>
      <c r="S58" s="75">
        <v>6.4</v>
      </c>
      <c r="T58" s="75">
        <v>6.4</v>
      </c>
      <c r="U58" s="278">
        <v>6.4</v>
      </c>
      <c r="V58" s="278">
        <v>6.4</v>
      </c>
      <c r="W58" s="278">
        <v>6.4</v>
      </c>
      <c r="X58" s="278">
        <v>6.4</v>
      </c>
      <c r="Y58" s="278">
        <v>6.4</v>
      </c>
      <c r="Z58" s="76"/>
      <c r="AA58" s="75">
        <v>6.4</v>
      </c>
      <c r="AB58" s="75">
        <v>6.4</v>
      </c>
      <c r="AC58" s="75">
        <v>6.4</v>
      </c>
      <c r="AD58" s="75">
        <v>6.4</v>
      </c>
      <c r="AE58" s="75">
        <v>6.4</v>
      </c>
      <c r="AF58" s="278">
        <v>6.4</v>
      </c>
      <c r="AG58" s="278">
        <v>6.4</v>
      </c>
      <c r="AH58" s="278">
        <v>6.4</v>
      </c>
      <c r="AI58" s="278">
        <v>6.4</v>
      </c>
      <c r="AJ58" s="278">
        <v>6.4</v>
      </c>
      <c r="AK58" s="44" t="s">
        <v>31</v>
      </c>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CF58"/>
      <c r="CG58"/>
      <c r="CH58"/>
      <c r="CI58"/>
      <c r="CJ58"/>
    </row>
    <row r="59" spans="2:88" ht="18" customHeight="1">
      <c r="B59" s="80" t="s">
        <v>158</v>
      </c>
      <c r="C59" s="375" t="s">
        <v>131</v>
      </c>
      <c r="D59" s="375"/>
      <c r="E59" s="75">
        <v>47.9</v>
      </c>
      <c r="F59" s="75">
        <v>48</v>
      </c>
      <c r="G59" s="75">
        <v>47.06</v>
      </c>
      <c r="H59" s="75">
        <v>46.16</v>
      </c>
      <c r="I59" s="75">
        <v>45.32</v>
      </c>
      <c r="J59" s="278">
        <v>46.16</v>
      </c>
      <c r="K59" s="278">
        <v>45.5</v>
      </c>
      <c r="L59" s="278">
        <v>46.32</v>
      </c>
      <c r="M59" s="278">
        <v>45.64</v>
      </c>
      <c r="N59" s="278">
        <v>45.75</v>
      </c>
      <c r="O59" s="76"/>
      <c r="P59" s="75">
        <v>47.9</v>
      </c>
      <c r="Q59" s="75">
        <v>48</v>
      </c>
      <c r="R59" s="75">
        <v>47.06</v>
      </c>
      <c r="S59" s="75">
        <v>46.16</v>
      </c>
      <c r="T59" s="75">
        <v>45.32</v>
      </c>
      <c r="U59" s="278">
        <v>46.16</v>
      </c>
      <c r="V59" s="278">
        <v>46.16</v>
      </c>
      <c r="W59" s="278">
        <v>46.32</v>
      </c>
      <c r="X59" s="278">
        <v>45.64</v>
      </c>
      <c r="Y59" s="278">
        <v>45.75</v>
      </c>
      <c r="Z59" s="76"/>
      <c r="AA59" s="75">
        <v>47.9</v>
      </c>
      <c r="AB59" s="75">
        <v>48</v>
      </c>
      <c r="AC59" s="75">
        <v>47.06</v>
      </c>
      <c r="AD59" s="75">
        <v>46.16</v>
      </c>
      <c r="AE59" s="75">
        <v>45.32</v>
      </c>
      <c r="AF59" s="278">
        <v>46.16</v>
      </c>
      <c r="AG59" s="278">
        <v>45.5</v>
      </c>
      <c r="AH59" s="278">
        <v>46.32</v>
      </c>
      <c r="AI59" s="278">
        <v>45.64</v>
      </c>
      <c r="AJ59" s="278">
        <v>45.75</v>
      </c>
      <c r="AK59" s="44" t="s">
        <v>31</v>
      </c>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CF59"/>
      <c r="CG59"/>
      <c r="CH59"/>
      <c r="CI59"/>
      <c r="CJ59"/>
    </row>
    <row r="60" spans="2:88" ht="18" customHeight="1">
      <c r="B60" s="80" t="s">
        <v>159</v>
      </c>
      <c r="C60" s="383" t="s">
        <v>160</v>
      </c>
      <c r="D60" s="375"/>
      <c r="E60" s="75">
        <v>34</v>
      </c>
      <c r="F60" s="75">
        <v>33</v>
      </c>
      <c r="G60" s="75">
        <v>33</v>
      </c>
      <c r="H60" s="75">
        <v>32</v>
      </c>
      <c r="I60" s="75">
        <v>32</v>
      </c>
      <c r="J60" s="278">
        <v>32</v>
      </c>
      <c r="K60" s="278">
        <v>32</v>
      </c>
      <c r="L60" s="278">
        <v>32</v>
      </c>
      <c r="M60" s="278">
        <v>32</v>
      </c>
      <c r="N60" s="278">
        <v>32</v>
      </c>
      <c r="O60" s="76"/>
      <c r="P60" s="75">
        <v>34</v>
      </c>
      <c r="Q60" s="75">
        <v>33</v>
      </c>
      <c r="R60" s="75">
        <v>33</v>
      </c>
      <c r="S60" s="75">
        <v>32</v>
      </c>
      <c r="T60" s="75">
        <v>32</v>
      </c>
      <c r="U60" s="278">
        <v>32</v>
      </c>
      <c r="V60" s="278">
        <v>32</v>
      </c>
      <c r="W60" s="278">
        <v>32</v>
      </c>
      <c r="X60" s="278">
        <v>32</v>
      </c>
      <c r="Y60" s="278">
        <v>32</v>
      </c>
      <c r="Z60" s="76"/>
      <c r="AA60" s="75">
        <v>34</v>
      </c>
      <c r="AB60" s="75">
        <v>33</v>
      </c>
      <c r="AC60" s="75">
        <v>33</v>
      </c>
      <c r="AD60" s="75">
        <v>32</v>
      </c>
      <c r="AE60" s="75">
        <v>32</v>
      </c>
      <c r="AF60" s="278">
        <v>32</v>
      </c>
      <c r="AG60" s="278">
        <v>32</v>
      </c>
      <c r="AH60" s="278">
        <v>32</v>
      </c>
      <c r="AI60" s="278">
        <v>32</v>
      </c>
      <c r="AJ60" s="278">
        <v>32</v>
      </c>
      <c r="AK60" s="44" t="s">
        <v>31</v>
      </c>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CF60"/>
      <c r="CG60"/>
      <c r="CH60"/>
      <c r="CI60"/>
      <c r="CJ60"/>
    </row>
    <row r="61" spans="2:88" ht="18" customHeight="1">
      <c r="B61" s="80" t="s">
        <v>161</v>
      </c>
      <c r="C61" s="375" t="s">
        <v>132</v>
      </c>
      <c r="D61" s="375"/>
      <c r="E61" s="75">
        <v>260</v>
      </c>
      <c r="F61" s="75">
        <v>260</v>
      </c>
      <c r="G61" s="75">
        <v>260</v>
      </c>
      <c r="H61" s="75">
        <v>260</v>
      </c>
      <c r="I61" s="75">
        <v>260</v>
      </c>
      <c r="J61" s="278">
        <v>260</v>
      </c>
      <c r="K61" s="278">
        <v>260</v>
      </c>
      <c r="L61" s="278">
        <v>260</v>
      </c>
      <c r="M61" s="278">
        <v>260</v>
      </c>
      <c r="N61" s="278">
        <v>260</v>
      </c>
      <c r="O61" s="73"/>
      <c r="P61" s="75">
        <v>350</v>
      </c>
      <c r="Q61" s="75">
        <v>350</v>
      </c>
      <c r="R61" s="75">
        <v>350</v>
      </c>
      <c r="S61" s="75">
        <v>350</v>
      </c>
      <c r="T61" s="75">
        <v>350</v>
      </c>
      <c r="U61" s="75">
        <v>350</v>
      </c>
      <c r="V61" s="75">
        <v>350</v>
      </c>
      <c r="W61" s="75">
        <v>350</v>
      </c>
      <c r="X61" s="75">
        <v>350</v>
      </c>
      <c r="Y61" s="75">
        <v>350</v>
      </c>
      <c r="Z61" s="73"/>
      <c r="AA61" s="75">
        <v>550</v>
      </c>
      <c r="AB61" s="75">
        <v>550</v>
      </c>
      <c r="AC61" s="75">
        <v>550</v>
      </c>
      <c r="AD61" s="75">
        <v>550</v>
      </c>
      <c r="AE61" s="75">
        <v>550</v>
      </c>
      <c r="AF61" s="75">
        <v>550</v>
      </c>
      <c r="AG61" s="75">
        <v>550</v>
      </c>
      <c r="AH61" s="75">
        <v>550</v>
      </c>
      <c r="AI61" s="75">
        <v>550</v>
      </c>
      <c r="AJ61" s="75">
        <v>550</v>
      </c>
      <c r="AK61" s="44" t="s">
        <v>31</v>
      </c>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CF61"/>
      <c r="CG61"/>
      <c r="CH61"/>
      <c r="CI61"/>
      <c r="CJ61"/>
    </row>
    <row r="62" spans="2:88" ht="18" customHeight="1">
      <c r="B62" s="80" t="s">
        <v>162</v>
      </c>
      <c r="C62" s="375" t="s">
        <v>81</v>
      </c>
      <c r="D62" s="375"/>
      <c r="E62" s="75">
        <v>7.8</v>
      </c>
      <c r="F62" s="75">
        <v>7.8</v>
      </c>
      <c r="G62" s="75">
        <v>7.8</v>
      </c>
      <c r="H62" s="75">
        <v>7.8</v>
      </c>
      <c r="I62" s="75">
        <v>7.8</v>
      </c>
      <c r="J62" s="278">
        <v>7.8</v>
      </c>
      <c r="K62" s="278">
        <v>7.8</v>
      </c>
      <c r="L62" s="278">
        <v>7.8</v>
      </c>
      <c r="M62" s="278">
        <v>7.8</v>
      </c>
      <c r="N62" s="278">
        <v>7.8</v>
      </c>
      <c r="O62" s="73"/>
      <c r="P62" s="75">
        <v>7.8</v>
      </c>
      <c r="Q62" s="75">
        <v>7.8</v>
      </c>
      <c r="R62" s="75">
        <v>7.8</v>
      </c>
      <c r="S62" s="75">
        <v>7.8</v>
      </c>
      <c r="T62" s="75">
        <v>7.8</v>
      </c>
      <c r="U62" s="278">
        <v>7.8</v>
      </c>
      <c r="V62" s="278">
        <v>7.8</v>
      </c>
      <c r="W62" s="278">
        <v>7.8</v>
      </c>
      <c r="X62" s="278">
        <v>7.8</v>
      </c>
      <c r="Y62" s="278">
        <v>7.8</v>
      </c>
      <c r="Z62" s="73"/>
      <c r="AA62" s="278">
        <v>7.8</v>
      </c>
      <c r="AB62" s="278">
        <v>7.8</v>
      </c>
      <c r="AC62" s="278">
        <v>7.8</v>
      </c>
      <c r="AD62" s="278">
        <v>7.8</v>
      </c>
      <c r="AE62" s="278">
        <v>7.8</v>
      </c>
      <c r="AF62" s="278">
        <v>7.8</v>
      </c>
      <c r="AG62" s="278">
        <v>7.8</v>
      </c>
      <c r="AH62" s="278">
        <v>7.8</v>
      </c>
      <c r="AI62" s="278">
        <v>7.8</v>
      </c>
      <c r="AJ62" s="278">
        <v>7.8</v>
      </c>
      <c r="AK62" s="44" t="s">
        <v>168</v>
      </c>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CF62"/>
      <c r="CG62"/>
      <c r="CH62"/>
      <c r="CI62"/>
      <c r="CJ62"/>
    </row>
    <row r="63" spans="2:88" ht="18" customHeight="1">
      <c r="B63" s="80" t="s">
        <v>178</v>
      </c>
      <c r="C63" s="375" t="s">
        <v>164</v>
      </c>
      <c r="D63" s="375"/>
      <c r="E63" s="212">
        <f t="shared" ref="E63:K63" si="4">E52</f>
        <v>1.0708113612004289</v>
      </c>
      <c r="F63" s="212">
        <f t="shared" si="4"/>
        <v>0.93664650726676046</v>
      </c>
      <c r="G63" s="212">
        <f t="shared" si="4"/>
        <v>0.93664650726676046</v>
      </c>
      <c r="H63" s="212">
        <f t="shared" si="4"/>
        <v>0.83333333333333337</v>
      </c>
      <c r="I63" s="212">
        <f t="shared" si="4"/>
        <v>0.83333333333333337</v>
      </c>
      <c r="J63" s="212">
        <f t="shared" si="4"/>
        <v>0.75018754688672173</v>
      </c>
      <c r="K63" s="212">
        <f t="shared" si="4"/>
        <v>0.75018754688672173</v>
      </c>
      <c r="L63" s="212">
        <f t="shared" ref="L63:N63" si="5">L52</f>
        <v>0.68189566996249573</v>
      </c>
      <c r="M63" s="212">
        <f t="shared" si="5"/>
        <v>0.68189566996249573</v>
      </c>
      <c r="N63" s="212">
        <f t="shared" si="5"/>
        <v>0.625</v>
      </c>
      <c r="O63" s="73"/>
      <c r="P63" s="212">
        <f t="shared" ref="P63:Y63" si="6">P52</f>
        <v>1.0708113612004289</v>
      </c>
      <c r="Q63" s="212">
        <f t="shared" si="6"/>
        <v>0.93664650726676046</v>
      </c>
      <c r="R63" s="212">
        <f t="shared" si="6"/>
        <v>0.93664650726676046</v>
      </c>
      <c r="S63" s="212">
        <f t="shared" si="6"/>
        <v>0.83333333333333337</v>
      </c>
      <c r="T63" s="212">
        <f t="shared" si="6"/>
        <v>0.83333333333333337</v>
      </c>
      <c r="U63" s="212">
        <v>0.75018754688672173</v>
      </c>
      <c r="V63" s="212">
        <v>0.75018754688672173</v>
      </c>
      <c r="W63" s="212">
        <f t="shared" si="6"/>
        <v>0.68189566996249573</v>
      </c>
      <c r="X63" s="212">
        <f t="shared" si="6"/>
        <v>0.68189566996249573</v>
      </c>
      <c r="Y63" s="212">
        <f t="shared" si="6"/>
        <v>0.625</v>
      </c>
      <c r="Z63" s="73"/>
      <c r="AA63" s="212">
        <f t="shared" ref="AA63:AJ63" si="7">AA52</f>
        <v>1.0708113612004289</v>
      </c>
      <c r="AB63" s="212">
        <f t="shared" si="7"/>
        <v>0.93664650726676046</v>
      </c>
      <c r="AC63" s="212">
        <f t="shared" si="7"/>
        <v>0.93664650726676046</v>
      </c>
      <c r="AD63" s="212">
        <f t="shared" si="7"/>
        <v>0.83333333333333337</v>
      </c>
      <c r="AE63" s="212">
        <f t="shared" si="7"/>
        <v>0.83333333333333337</v>
      </c>
      <c r="AF63" s="212">
        <f t="shared" si="7"/>
        <v>0.75018754688672173</v>
      </c>
      <c r="AG63" s="212">
        <f t="shared" si="7"/>
        <v>0.75018754688672173</v>
      </c>
      <c r="AH63" s="212">
        <f t="shared" si="7"/>
        <v>0.68189566996249573</v>
      </c>
      <c r="AI63" s="212">
        <f t="shared" si="7"/>
        <v>0.68189566996249573</v>
      </c>
      <c r="AJ63" s="212">
        <f t="shared" si="7"/>
        <v>0.625</v>
      </c>
      <c r="AK63" s="44" t="s">
        <v>31</v>
      </c>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CF63"/>
      <c r="CG63"/>
      <c r="CH63"/>
      <c r="CI63"/>
      <c r="CJ63"/>
    </row>
    <row r="64" spans="2:88" ht="18.75" customHeight="1">
      <c r="B64" s="80" t="s">
        <v>165</v>
      </c>
      <c r="C64" s="375" t="s">
        <v>166</v>
      </c>
      <c r="D64" s="375"/>
      <c r="E64" s="75">
        <v>1.9</v>
      </c>
      <c r="F64" s="75">
        <v>1.9</v>
      </c>
      <c r="G64" s="75">
        <v>1.9</v>
      </c>
      <c r="H64" s="75">
        <v>1.9</v>
      </c>
      <c r="I64" s="75">
        <v>1.9</v>
      </c>
      <c r="J64" s="75">
        <v>1.9</v>
      </c>
      <c r="K64" s="75">
        <v>1.9</v>
      </c>
      <c r="L64" s="75">
        <v>1.9</v>
      </c>
      <c r="M64" s="75">
        <v>1.9</v>
      </c>
      <c r="N64" s="75">
        <v>1.9</v>
      </c>
      <c r="O64" s="73"/>
      <c r="P64" s="75">
        <v>1.9</v>
      </c>
      <c r="Q64" s="75">
        <v>1.9</v>
      </c>
      <c r="R64" s="75">
        <v>1.9</v>
      </c>
      <c r="S64" s="75">
        <v>1.9</v>
      </c>
      <c r="T64" s="75">
        <v>1.9</v>
      </c>
      <c r="U64" s="75">
        <v>1.9</v>
      </c>
      <c r="V64" s="75">
        <v>1.9</v>
      </c>
      <c r="W64" s="75">
        <v>1.9</v>
      </c>
      <c r="X64" s="75">
        <v>1.9</v>
      </c>
      <c r="Y64" s="75">
        <v>1.9</v>
      </c>
      <c r="Z64" s="73"/>
      <c r="AA64" s="75">
        <v>1.9</v>
      </c>
      <c r="AB64" s="75">
        <v>1.9</v>
      </c>
      <c r="AC64" s="75">
        <v>1.9</v>
      </c>
      <c r="AD64" s="75">
        <v>1.9</v>
      </c>
      <c r="AE64" s="75">
        <v>1.9</v>
      </c>
      <c r="AF64" s="75">
        <v>1.9</v>
      </c>
      <c r="AG64" s="75">
        <v>1.9</v>
      </c>
      <c r="AH64" s="75">
        <v>1.9</v>
      </c>
      <c r="AI64" s="75">
        <v>1.9</v>
      </c>
      <c r="AJ64" s="75">
        <v>1.9</v>
      </c>
      <c r="AK64" s="44" t="s">
        <v>31</v>
      </c>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CF64"/>
      <c r="CG64"/>
      <c r="CH64"/>
      <c r="CI64"/>
      <c r="CJ64"/>
    </row>
    <row r="65" spans="2:88" ht="14.25" customHeight="1">
      <c r="B65" s="62"/>
      <c r="C65" s="63"/>
      <c r="D65" s="62"/>
      <c r="E65" s="62"/>
      <c r="F65" s="60"/>
      <c r="G65" s="60"/>
      <c r="H65" s="60"/>
      <c r="I65" s="60"/>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304" t="s">
        <v>191</v>
      </c>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CF65"/>
      <c r="CG65"/>
      <c r="CH65"/>
      <c r="CI65"/>
      <c r="CJ65"/>
    </row>
    <row r="66" spans="2:88" ht="14.1" customHeight="1">
      <c r="B66" s="373" t="s">
        <v>361</v>
      </c>
      <c r="C66" s="367" t="s">
        <v>365</v>
      </c>
      <c r="D66" s="74" t="s">
        <v>87</v>
      </c>
      <c r="E66" s="339">
        <f t="shared" ref="E66:N66" si="8">IF( E72&gt;0,(E72-E27)*E$62*1000/E$61+E27,"")</f>
        <v>296</v>
      </c>
      <c r="F66" s="339">
        <f t="shared" si="8"/>
        <v>296</v>
      </c>
      <c r="G66" s="339" t="str">
        <f t="shared" si="8"/>
        <v/>
      </c>
      <c r="H66" s="339">
        <f t="shared" si="8"/>
        <v>297</v>
      </c>
      <c r="I66" s="339" t="str">
        <f t="shared" si="8"/>
        <v/>
      </c>
      <c r="J66" s="339">
        <f t="shared" si="8"/>
        <v>298</v>
      </c>
      <c r="K66" s="339" t="str">
        <f t="shared" si="8"/>
        <v/>
      </c>
      <c r="L66" s="339">
        <f t="shared" si="8"/>
        <v>300</v>
      </c>
      <c r="M66" s="339" t="str">
        <f t="shared" si="8"/>
        <v/>
      </c>
      <c r="N66" s="339">
        <f t="shared" si="8"/>
        <v>303</v>
      </c>
      <c r="O66" s="73"/>
      <c r="P66" s="339" t="str">
        <f t="shared" ref="P66" si="9">IF( P72&gt;0,(P72-P27)*P$62*1000/P$61+P27,"")</f>
        <v/>
      </c>
      <c r="Q66" s="339">
        <f t="shared" ref="Q66:Q71" si="10">IF( Q72&gt;0,(Q72-Q27)*Q$62*1000/Q$61+Q27,"")</f>
        <v>369.28571428571428</v>
      </c>
      <c r="R66" s="339" t="str">
        <f t="shared" ref="R66:Y66" si="11">IF( R72&gt;0,(R72-R27)*R$62*1000/R$61+R27,"")</f>
        <v/>
      </c>
      <c r="S66" s="339">
        <f t="shared" si="11"/>
        <v>372.28571428571428</v>
      </c>
      <c r="T66" s="339" t="str">
        <f t="shared" si="11"/>
        <v/>
      </c>
      <c r="U66" s="339">
        <f t="shared" si="11"/>
        <v>375.28571428571428</v>
      </c>
      <c r="V66" s="339" t="str">
        <f t="shared" si="11"/>
        <v/>
      </c>
      <c r="W66" s="339">
        <f t="shared" si="11"/>
        <v>378.28571428571428</v>
      </c>
      <c r="X66" s="339" t="str">
        <f t="shared" si="11"/>
        <v/>
      </c>
      <c r="Y66" s="339">
        <f t="shared" si="11"/>
        <v>381.28571428571428</v>
      </c>
      <c r="Z66" s="77"/>
      <c r="AA66" s="339" t="str">
        <f t="shared" ref="AA66:AJ66" si="12">IF( AA72&gt;0,(AA72-AA27)*AA$62*1000/AA$61+AA27,"")</f>
        <v/>
      </c>
      <c r="AB66" s="339" t="str">
        <f t="shared" si="12"/>
        <v/>
      </c>
      <c r="AC66" s="339" t="str">
        <f t="shared" si="12"/>
        <v/>
      </c>
      <c r="AD66" s="339" t="str">
        <f t="shared" si="12"/>
        <v/>
      </c>
      <c r="AE66" s="339" t="str">
        <f t="shared" si="12"/>
        <v/>
      </c>
      <c r="AF66" s="339" t="str">
        <f t="shared" si="12"/>
        <v/>
      </c>
      <c r="AG66" s="339" t="str">
        <f t="shared" si="12"/>
        <v/>
      </c>
      <c r="AH66" s="339" t="str">
        <f t="shared" si="12"/>
        <v/>
      </c>
      <c r="AI66" s="339" t="str">
        <f t="shared" si="12"/>
        <v/>
      </c>
      <c r="AJ66" s="339" t="str">
        <f t="shared" si="12"/>
        <v/>
      </c>
      <c r="AK66" s="44" t="s">
        <v>11</v>
      </c>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CF66"/>
      <c r="CG66"/>
      <c r="CH66"/>
      <c r="CI66"/>
      <c r="CJ66"/>
    </row>
    <row r="67" spans="2:88" ht="14.1" customHeight="1">
      <c r="B67" s="373"/>
      <c r="C67" s="368"/>
      <c r="D67" s="74" t="s">
        <v>88</v>
      </c>
      <c r="E67" s="339">
        <f t="shared" ref="E67:N67" si="13">IF( E73&gt;0,(E73-E28)*E$62*1000/E$61+E28,"")</f>
        <v>296</v>
      </c>
      <c r="F67" s="339">
        <f t="shared" si="13"/>
        <v>296</v>
      </c>
      <c r="G67" s="339" t="str">
        <f t="shared" si="13"/>
        <v/>
      </c>
      <c r="H67" s="339">
        <f t="shared" si="13"/>
        <v>297</v>
      </c>
      <c r="I67" s="339" t="str">
        <f t="shared" si="13"/>
        <v/>
      </c>
      <c r="J67" s="339">
        <f t="shared" si="13"/>
        <v>298</v>
      </c>
      <c r="K67" s="339" t="str">
        <f t="shared" si="13"/>
        <v/>
      </c>
      <c r="L67" s="339">
        <f t="shared" si="13"/>
        <v>300</v>
      </c>
      <c r="M67" s="339" t="str">
        <f t="shared" si="13"/>
        <v/>
      </c>
      <c r="N67" s="339">
        <f t="shared" si="13"/>
        <v>303</v>
      </c>
      <c r="O67" s="73"/>
      <c r="P67" s="339" t="str">
        <f>IF( P73&gt;0,(P73-P28)*P$62*1000/P$61+P28,"")</f>
        <v/>
      </c>
      <c r="Q67" s="339">
        <f t="shared" si="10"/>
        <v>262.85714285714289</v>
      </c>
      <c r="R67" s="339" t="str">
        <f t="shared" ref="R67:Y67" si="14">IF( R73&gt;0,(R73-R28)*R$62*1000/R$61+R28,"")</f>
        <v/>
      </c>
      <c r="S67" s="339">
        <f t="shared" si="14"/>
        <v>265.85714285714289</v>
      </c>
      <c r="T67" s="339" t="str">
        <f t="shared" si="14"/>
        <v/>
      </c>
      <c r="U67" s="339">
        <f>IF( U73&gt;0,(U73-U28)*U$62*1000/U$61+U28,"")</f>
        <v>268.85714285714289</v>
      </c>
      <c r="V67" s="339" t="str">
        <f t="shared" si="14"/>
        <v/>
      </c>
      <c r="W67" s="339">
        <f t="shared" si="14"/>
        <v>271.85714285714289</v>
      </c>
      <c r="X67" s="339" t="str">
        <f t="shared" si="14"/>
        <v/>
      </c>
      <c r="Y67" s="339">
        <f t="shared" si="14"/>
        <v>274.85714285714289</v>
      </c>
      <c r="Z67" s="77"/>
      <c r="AA67" s="339" t="str">
        <f t="shared" ref="AA67:AJ67" si="15">IF( AA73&gt;0,(AA73-AA28)*AA$62*1000/AA$61+AA28,"")</f>
        <v/>
      </c>
      <c r="AB67" s="339" t="str">
        <f t="shared" si="15"/>
        <v/>
      </c>
      <c r="AC67" s="339" t="str">
        <f t="shared" si="15"/>
        <v/>
      </c>
      <c r="AD67" s="339" t="str">
        <f t="shared" si="15"/>
        <v/>
      </c>
      <c r="AE67" s="339" t="str">
        <f t="shared" si="15"/>
        <v/>
      </c>
      <c r="AF67" s="339" t="str">
        <f t="shared" si="15"/>
        <v/>
      </c>
      <c r="AG67" s="339" t="str">
        <f t="shared" si="15"/>
        <v/>
      </c>
      <c r="AH67" s="339" t="str">
        <f t="shared" si="15"/>
        <v/>
      </c>
      <c r="AI67" s="339" t="str">
        <f t="shared" si="15"/>
        <v/>
      </c>
      <c r="AJ67" s="339" t="str">
        <f t="shared" si="15"/>
        <v/>
      </c>
      <c r="AK67" s="44" t="s">
        <v>11</v>
      </c>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CF67"/>
      <c r="CG67"/>
      <c r="CH67"/>
      <c r="CI67"/>
      <c r="CJ67"/>
    </row>
    <row r="68" spans="2:88" ht="14.1" customHeight="1">
      <c r="B68" s="373"/>
      <c r="C68" s="369"/>
      <c r="D68" s="74" t="s">
        <v>86</v>
      </c>
      <c r="E68" s="339">
        <f t="shared" ref="E68:N68" si="16">IF( E74&gt;0,(E74-E29)*E$62*1000/E$61+E29,"")</f>
        <v>296</v>
      </c>
      <c r="F68" s="339">
        <f t="shared" si="16"/>
        <v>296</v>
      </c>
      <c r="G68" s="339" t="str">
        <f t="shared" si="16"/>
        <v/>
      </c>
      <c r="H68" s="339">
        <f t="shared" si="16"/>
        <v>297</v>
      </c>
      <c r="I68" s="339" t="str">
        <f t="shared" si="16"/>
        <v/>
      </c>
      <c r="J68" s="339">
        <f t="shared" si="16"/>
        <v>298</v>
      </c>
      <c r="K68" s="339" t="str">
        <f t="shared" si="16"/>
        <v/>
      </c>
      <c r="L68" s="339">
        <f t="shared" si="16"/>
        <v>300</v>
      </c>
      <c r="M68" s="339" t="str">
        <f t="shared" si="16"/>
        <v/>
      </c>
      <c r="N68" s="339">
        <f t="shared" si="16"/>
        <v>303</v>
      </c>
      <c r="O68" s="73"/>
      <c r="P68" s="339" t="str">
        <f>IF( P74&gt;0,(P74-P29)*P$62*1000/P$61+P29,"")</f>
        <v/>
      </c>
      <c r="Q68" s="339">
        <f t="shared" si="10"/>
        <v>311.42857142857144</v>
      </c>
      <c r="R68" s="339" t="str">
        <f t="shared" ref="R68:Y68" si="17">IF( R74&gt;0,(R74-R29)*R$62*1000/R$61+R29,"")</f>
        <v/>
      </c>
      <c r="S68" s="339">
        <f t="shared" si="17"/>
        <v>314.42857142857144</v>
      </c>
      <c r="T68" s="339" t="str">
        <f t="shared" si="17"/>
        <v/>
      </c>
      <c r="U68" s="339">
        <f t="shared" si="17"/>
        <v>295.14285714285711</v>
      </c>
      <c r="V68" s="339" t="str">
        <f t="shared" si="17"/>
        <v/>
      </c>
      <c r="W68" s="339">
        <f t="shared" si="17"/>
        <v>298.14285714285711</v>
      </c>
      <c r="X68" s="339" t="str">
        <f t="shared" si="17"/>
        <v/>
      </c>
      <c r="Y68" s="339">
        <f t="shared" si="17"/>
        <v>301.14285714285711</v>
      </c>
      <c r="Z68" s="77"/>
      <c r="AA68" s="339" t="str">
        <f t="shared" ref="AA68:AJ68" si="18">IF( AA74&gt;0,(AA74-AA29)*AA$62*1000/AA$61+AA29,"")</f>
        <v/>
      </c>
      <c r="AB68" s="339" t="str">
        <f t="shared" si="18"/>
        <v/>
      </c>
      <c r="AC68" s="339" t="str">
        <f t="shared" si="18"/>
        <v/>
      </c>
      <c r="AD68" s="339" t="str">
        <f t="shared" si="18"/>
        <v/>
      </c>
      <c r="AE68" s="339" t="str">
        <f t="shared" si="18"/>
        <v/>
      </c>
      <c r="AF68" s="339" t="str">
        <f t="shared" si="18"/>
        <v/>
      </c>
      <c r="AG68" s="339" t="str">
        <f t="shared" si="18"/>
        <v/>
      </c>
      <c r="AH68" s="339" t="str">
        <f t="shared" si="18"/>
        <v/>
      </c>
      <c r="AI68" s="339" t="str">
        <f t="shared" si="18"/>
        <v/>
      </c>
      <c r="AJ68" s="339" t="str">
        <f t="shared" si="18"/>
        <v/>
      </c>
      <c r="AK68" s="44" t="s">
        <v>11</v>
      </c>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CF68"/>
      <c r="CG68"/>
      <c r="CH68"/>
      <c r="CI68"/>
      <c r="CJ68"/>
    </row>
    <row r="69" spans="2:88" ht="14.1" customHeight="1">
      <c r="B69" s="373" t="s">
        <v>362</v>
      </c>
      <c r="C69" s="367" t="s">
        <v>366</v>
      </c>
      <c r="D69" s="74" t="s">
        <v>87</v>
      </c>
      <c r="E69" s="339">
        <f t="shared" ref="E69:N69" si="19">IF( E75&gt;0,(E75-E30)*E$62*1000/E$61+E30,"")</f>
        <v>63</v>
      </c>
      <c r="F69" s="339">
        <f t="shared" si="19"/>
        <v>63</v>
      </c>
      <c r="G69" s="339" t="str">
        <f t="shared" si="19"/>
        <v/>
      </c>
      <c r="H69" s="339">
        <f t="shared" si="19"/>
        <v>63</v>
      </c>
      <c r="I69" s="339" t="str">
        <f t="shared" si="19"/>
        <v/>
      </c>
      <c r="J69" s="339">
        <f t="shared" si="19"/>
        <v>63</v>
      </c>
      <c r="K69" s="339" t="str">
        <f t="shared" si="19"/>
        <v/>
      </c>
      <c r="L69" s="339">
        <f t="shared" si="19"/>
        <v>63</v>
      </c>
      <c r="M69" s="339" t="str">
        <f t="shared" si="19"/>
        <v/>
      </c>
      <c r="N69" s="339">
        <f t="shared" si="19"/>
        <v>63</v>
      </c>
      <c r="O69" s="73"/>
      <c r="P69" s="339" t="str">
        <f>IF( P75&gt;0,(P75-P30)*P$62*1000/P$61+P30,"")</f>
        <v/>
      </c>
      <c r="Q69" s="339">
        <f t="shared" si="10"/>
        <v>47.571428571428569</v>
      </c>
      <c r="R69" s="339" t="str">
        <f t="shared" ref="R69:Y69" si="20">IF( R75&gt;0,(R75-R30)*R$62*1000/R$61+R30,"")</f>
        <v/>
      </c>
      <c r="S69" s="339">
        <f t="shared" si="20"/>
        <v>47.571428571428569</v>
      </c>
      <c r="T69" s="339" t="str">
        <f t="shared" si="20"/>
        <v/>
      </c>
      <c r="U69" s="339">
        <f t="shared" si="20"/>
        <v>47.571428571428569</v>
      </c>
      <c r="V69" s="339" t="str">
        <f t="shared" si="20"/>
        <v/>
      </c>
      <c r="W69" s="339">
        <f t="shared" si="20"/>
        <v>47.571428571428569</v>
      </c>
      <c r="X69" s="339" t="str">
        <f t="shared" si="20"/>
        <v/>
      </c>
      <c r="Y69" s="339">
        <f t="shared" si="20"/>
        <v>47.571428571428569</v>
      </c>
      <c r="Z69" s="77"/>
      <c r="AA69" s="339" t="str">
        <f t="shared" ref="AA69:AJ69" si="21">IF( AA75&gt;0,(AA75-AA30)*AA$62*1000/AA$61+AA30,"")</f>
        <v/>
      </c>
      <c r="AB69" s="339" t="str">
        <f t="shared" si="21"/>
        <v/>
      </c>
      <c r="AC69" s="339" t="str">
        <f t="shared" si="21"/>
        <v/>
      </c>
      <c r="AD69" s="339" t="str">
        <f t="shared" si="21"/>
        <v/>
      </c>
      <c r="AE69" s="339" t="str">
        <f t="shared" si="21"/>
        <v/>
      </c>
      <c r="AF69" s="339" t="str">
        <f t="shared" si="21"/>
        <v/>
      </c>
      <c r="AG69" s="339" t="str">
        <f t="shared" si="21"/>
        <v/>
      </c>
      <c r="AH69" s="339" t="str">
        <f t="shared" si="21"/>
        <v/>
      </c>
      <c r="AI69" s="339" t="str">
        <f t="shared" si="21"/>
        <v/>
      </c>
      <c r="AJ69" s="339" t="str">
        <f t="shared" si="21"/>
        <v/>
      </c>
      <c r="AK69" s="44" t="s">
        <v>11</v>
      </c>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CF69"/>
      <c r="CG69"/>
      <c r="CH69"/>
      <c r="CI69"/>
      <c r="CJ69"/>
    </row>
    <row r="70" spans="2:88" ht="14.1" customHeight="1">
      <c r="B70" s="373"/>
      <c r="C70" s="368"/>
      <c r="D70" s="74" t="s">
        <v>88</v>
      </c>
      <c r="E70" s="339">
        <f t="shared" ref="E70:N70" si="22">IF( E76&gt;0,(E76-E31)*E$62*1000/E$61+E31,"")</f>
        <v>63</v>
      </c>
      <c r="F70" s="339">
        <f t="shared" si="22"/>
        <v>63</v>
      </c>
      <c r="G70" s="339" t="str">
        <f t="shared" si="22"/>
        <v/>
      </c>
      <c r="H70" s="339">
        <f t="shared" si="22"/>
        <v>63</v>
      </c>
      <c r="I70" s="339" t="str">
        <f t="shared" si="22"/>
        <v/>
      </c>
      <c r="J70" s="339">
        <f t="shared" si="22"/>
        <v>63</v>
      </c>
      <c r="K70" s="339" t="str">
        <f t="shared" si="22"/>
        <v/>
      </c>
      <c r="L70" s="339">
        <f t="shared" si="22"/>
        <v>63</v>
      </c>
      <c r="M70" s="339" t="str">
        <f t="shared" si="22"/>
        <v/>
      </c>
      <c r="N70" s="339">
        <f t="shared" si="22"/>
        <v>63</v>
      </c>
      <c r="O70" s="73"/>
      <c r="P70" s="339" t="str">
        <f>IF( P76&gt;0,(P76-P31)*P$62*1000/P$61+P31,"")</f>
        <v/>
      </c>
      <c r="Q70" s="339">
        <f t="shared" si="10"/>
        <v>47.571428571428569</v>
      </c>
      <c r="R70" s="339" t="str">
        <f t="shared" ref="R70:Y70" si="23">IF( R76&gt;0,(R76-R31)*R$62*1000/R$61+R31,"")</f>
        <v/>
      </c>
      <c r="S70" s="339">
        <f t="shared" si="23"/>
        <v>47.571428571428569</v>
      </c>
      <c r="T70" s="339" t="str">
        <f t="shared" si="23"/>
        <v/>
      </c>
      <c r="U70" s="339">
        <f t="shared" si="23"/>
        <v>47.571428571428569</v>
      </c>
      <c r="V70" s="339" t="str">
        <f t="shared" si="23"/>
        <v/>
      </c>
      <c r="W70" s="339">
        <f t="shared" si="23"/>
        <v>47.571428571428569</v>
      </c>
      <c r="X70" s="339" t="str">
        <f t="shared" si="23"/>
        <v/>
      </c>
      <c r="Y70" s="339">
        <f t="shared" si="23"/>
        <v>47.571428571428569</v>
      </c>
      <c r="Z70" s="77"/>
      <c r="AA70" s="339" t="str">
        <f t="shared" ref="AA70:AJ70" si="24">IF( AA76&gt;0,(AA76-AA31)*AA$62*1000/AA$61+AA31,"")</f>
        <v/>
      </c>
      <c r="AB70" s="339" t="str">
        <f t="shared" si="24"/>
        <v/>
      </c>
      <c r="AC70" s="339" t="str">
        <f t="shared" si="24"/>
        <v/>
      </c>
      <c r="AD70" s="339" t="str">
        <f t="shared" si="24"/>
        <v/>
      </c>
      <c r="AE70" s="339" t="str">
        <f t="shared" si="24"/>
        <v/>
      </c>
      <c r="AF70" s="339" t="str">
        <f t="shared" si="24"/>
        <v/>
      </c>
      <c r="AG70" s="339" t="str">
        <f t="shared" si="24"/>
        <v/>
      </c>
      <c r="AH70" s="339" t="str">
        <f t="shared" si="24"/>
        <v/>
      </c>
      <c r="AI70" s="339" t="str">
        <f t="shared" si="24"/>
        <v/>
      </c>
      <c r="AJ70" s="339" t="str">
        <f t="shared" si="24"/>
        <v/>
      </c>
      <c r="AK70" s="44" t="s">
        <v>11</v>
      </c>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CF70"/>
      <c r="CG70"/>
      <c r="CH70"/>
      <c r="CI70"/>
      <c r="CJ70"/>
    </row>
    <row r="71" spans="2:88" ht="14.1" customHeight="1">
      <c r="B71" s="373"/>
      <c r="C71" s="369"/>
      <c r="D71" s="74" t="s">
        <v>86</v>
      </c>
      <c r="E71" s="339">
        <f t="shared" ref="E71:N71" si="25">IF( E77&gt;0,(E77-E32)*E$62*1000/E$61+E32,"")</f>
        <v>63</v>
      </c>
      <c r="F71" s="339">
        <f t="shared" si="25"/>
        <v>63</v>
      </c>
      <c r="G71" s="339" t="str">
        <f t="shared" si="25"/>
        <v/>
      </c>
      <c r="H71" s="339">
        <f t="shared" si="25"/>
        <v>63</v>
      </c>
      <c r="I71" s="339" t="str">
        <f t="shared" si="25"/>
        <v/>
      </c>
      <c r="J71" s="339">
        <f t="shared" si="25"/>
        <v>63</v>
      </c>
      <c r="K71" s="339" t="str">
        <f t="shared" si="25"/>
        <v/>
      </c>
      <c r="L71" s="339">
        <f t="shared" si="25"/>
        <v>63</v>
      </c>
      <c r="M71" s="339" t="str">
        <f t="shared" si="25"/>
        <v/>
      </c>
      <c r="N71" s="339">
        <f t="shared" si="25"/>
        <v>63</v>
      </c>
      <c r="O71" s="73"/>
      <c r="P71" s="339" t="str">
        <f>IF( P77&gt;0,(P77-P32)*P$62*1000/P$61+P32,"")</f>
        <v/>
      </c>
      <c r="Q71" s="339">
        <f t="shared" si="10"/>
        <v>47.571428571428569</v>
      </c>
      <c r="R71" s="339" t="str">
        <f t="shared" ref="R71:Y71" si="26">IF( R77&gt;0,(R77-R32)*R$62*1000/R$61+R32,"")</f>
        <v/>
      </c>
      <c r="S71" s="339">
        <f t="shared" si="26"/>
        <v>47.571428571428569</v>
      </c>
      <c r="T71" s="339" t="str">
        <f t="shared" si="26"/>
        <v/>
      </c>
      <c r="U71" s="339">
        <f t="shared" si="26"/>
        <v>47.571428571428569</v>
      </c>
      <c r="V71" s="339" t="str">
        <f t="shared" si="26"/>
        <v/>
      </c>
      <c r="W71" s="339">
        <f t="shared" si="26"/>
        <v>47.571428571428569</v>
      </c>
      <c r="X71" s="339" t="str">
        <f t="shared" si="26"/>
        <v/>
      </c>
      <c r="Y71" s="339">
        <f t="shared" si="26"/>
        <v>47.571428571428569</v>
      </c>
      <c r="Z71" s="77"/>
      <c r="AA71" s="339" t="str">
        <f t="shared" ref="AA71:AJ71" si="27">IF( AA77&gt;0,(AA77-AA32)*AA$62*1000/AA$61+AA32,"")</f>
        <v/>
      </c>
      <c r="AB71" s="339" t="str">
        <f t="shared" si="27"/>
        <v/>
      </c>
      <c r="AC71" s="339" t="str">
        <f t="shared" si="27"/>
        <v/>
      </c>
      <c r="AD71" s="339" t="str">
        <f t="shared" si="27"/>
        <v/>
      </c>
      <c r="AE71" s="339" t="str">
        <f t="shared" si="27"/>
        <v/>
      </c>
      <c r="AF71" s="339" t="str">
        <f t="shared" si="27"/>
        <v/>
      </c>
      <c r="AG71" s="339" t="str">
        <f t="shared" si="27"/>
        <v/>
      </c>
      <c r="AH71" s="339" t="str">
        <f t="shared" si="27"/>
        <v/>
      </c>
      <c r="AI71" s="339" t="str">
        <f t="shared" si="27"/>
        <v/>
      </c>
      <c r="AJ71" s="339" t="str">
        <f t="shared" si="27"/>
        <v/>
      </c>
      <c r="AK71" s="44" t="s">
        <v>11</v>
      </c>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CF71"/>
      <c r="CG71"/>
      <c r="CH71"/>
      <c r="CI71"/>
      <c r="CJ71"/>
    </row>
    <row r="72" spans="2:88" ht="14.1" customHeight="1">
      <c r="B72" s="373" t="s">
        <v>359</v>
      </c>
      <c r="C72" s="367" t="s">
        <v>363</v>
      </c>
      <c r="D72" s="74" t="s">
        <v>87</v>
      </c>
      <c r="E72" s="277">
        <v>64</v>
      </c>
      <c r="F72" s="277">
        <v>64</v>
      </c>
      <c r="G72" s="277"/>
      <c r="H72" s="277">
        <v>65</v>
      </c>
      <c r="I72" s="277"/>
      <c r="J72" s="277">
        <v>66</v>
      </c>
      <c r="K72" s="277"/>
      <c r="L72" s="277">
        <v>68</v>
      </c>
      <c r="M72" s="277"/>
      <c r="N72" s="277">
        <v>71</v>
      </c>
      <c r="O72" s="73"/>
      <c r="P72" s="277"/>
      <c r="Q72" s="338">
        <v>50</v>
      </c>
      <c r="R72" s="277"/>
      <c r="S72" s="277">
        <v>53</v>
      </c>
      <c r="T72" s="277"/>
      <c r="U72" s="277">
        <v>56</v>
      </c>
      <c r="V72" s="277"/>
      <c r="W72" s="277">
        <v>59</v>
      </c>
      <c r="X72" s="277"/>
      <c r="Y72" s="277">
        <v>62</v>
      </c>
      <c r="Z72" s="77"/>
      <c r="AA72" s="277"/>
      <c r="AB72" s="277"/>
      <c r="AC72" s="277"/>
      <c r="AD72" s="277"/>
      <c r="AE72" s="277"/>
      <c r="AF72" s="277"/>
      <c r="AG72" s="277"/>
      <c r="AH72" s="277"/>
      <c r="AI72" s="277"/>
      <c r="AJ72" s="277"/>
      <c r="AK72" s="44" t="s">
        <v>11</v>
      </c>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CF72"/>
      <c r="CG72"/>
      <c r="CH72"/>
      <c r="CI72"/>
      <c r="CJ72"/>
    </row>
    <row r="73" spans="2:88" ht="14.1" customHeight="1">
      <c r="B73" s="373"/>
      <c r="C73" s="368"/>
      <c r="D73" s="74" t="s">
        <v>88</v>
      </c>
      <c r="E73" s="277">
        <v>64</v>
      </c>
      <c r="F73" s="277">
        <v>64</v>
      </c>
      <c r="G73" s="277"/>
      <c r="H73" s="277">
        <v>65</v>
      </c>
      <c r="I73" s="277"/>
      <c r="J73" s="277">
        <v>66</v>
      </c>
      <c r="K73" s="277"/>
      <c r="L73" s="277">
        <v>68</v>
      </c>
      <c r="M73" s="277"/>
      <c r="N73" s="277">
        <v>71</v>
      </c>
      <c r="O73" s="73"/>
      <c r="P73" s="277"/>
      <c r="Q73" s="338">
        <v>50</v>
      </c>
      <c r="R73" s="277"/>
      <c r="S73" s="277">
        <v>53</v>
      </c>
      <c r="T73" s="277"/>
      <c r="U73" s="277">
        <v>56</v>
      </c>
      <c r="V73" s="277"/>
      <c r="W73" s="277">
        <v>59</v>
      </c>
      <c r="X73" s="277"/>
      <c r="Y73" s="277">
        <v>62</v>
      </c>
      <c r="Z73" s="77"/>
      <c r="AA73" s="277"/>
      <c r="AB73" s="277"/>
      <c r="AC73" s="277"/>
      <c r="AD73" s="277"/>
      <c r="AE73" s="277"/>
      <c r="AF73" s="277"/>
      <c r="AG73" s="277"/>
      <c r="AH73" s="277"/>
      <c r="AI73" s="277"/>
      <c r="AJ73" s="277"/>
      <c r="AK73" s="44" t="s">
        <v>11</v>
      </c>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CF73"/>
      <c r="CG73"/>
      <c r="CH73"/>
      <c r="CI73"/>
      <c r="CJ73"/>
    </row>
    <row r="74" spans="2:88" ht="14.1" customHeight="1">
      <c r="B74" s="373"/>
      <c r="C74" s="369"/>
      <c r="D74" s="74" t="s">
        <v>86</v>
      </c>
      <c r="E74" s="277">
        <v>64</v>
      </c>
      <c r="F74" s="277">
        <v>64</v>
      </c>
      <c r="G74" s="277"/>
      <c r="H74" s="277">
        <v>65</v>
      </c>
      <c r="I74" s="277"/>
      <c r="J74" s="277">
        <v>66</v>
      </c>
      <c r="K74" s="277"/>
      <c r="L74" s="277">
        <v>68</v>
      </c>
      <c r="M74" s="277"/>
      <c r="N74" s="277">
        <v>71</v>
      </c>
      <c r="O74" s="73"/>
      <c r="P74" s="277"/>
      <c r="Q74" s="338">
        <v>56</v>
      </c>
      <c r="R74" s="277"/>
      <c r="S74" s="277">
        <v>59</v>
      </c>
      <c r="T74" s="277"/>
      <c r="U74" s="277">
        <v>61</v>
      </c>
      <c r="V74" s="277"/>
      <c r="W74" s="277">
        <v>64</v>
      </c>
      <c r="X74" s="277"/>
      <c r="Y74" s="277">
        <v>67</v>
      </c>
      <c r="Z74" s="77"/>
      <c r="AA74" s="277"/>
      <c r="AB74" s="277"/>
      <c r="AC74" s="277"/>
      <c r="AD74" s="277"/>
      <c r="AE74" s="277"/>
      <c r="AF74" s="277"/>
      <c r="AG74" s="277"/>
      <c r="AH74" s="277"/>
      <c r="AI74" s="277"/>
      <c r="AJ74" s="277"/>
      <c r="AK74" s="44" t="s">
        <v>11</v>
      </c>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CF74"/>
      <c r="CG74"/>
      <c r="CH74"/>
      <c r="CI74"/>
      <c r="CJ74"/>
    </row>
    <row r="75" spans="2:88" ht="14.1" customHeight="1">
      <c r="B75" s="373" t="s">
        <v>360</v>
      </c>
      <c r="C75" s="367" t="s">
        <v>364</v>
      </c>
      <c r="D75" s="74" t="s">
        <v>87</v>
      </c>
      <c r="E75" s="276">
        <v>5</v>
      </c>
      <c r="F75" s="276">
        <v>5</v>
      </c>
      <c r="G75" s="276"/>
      <c r="H75" s="276">
        <v>5</v>
      </c>
      <c r="I75" s="276"/>
      <c r="J75" s="276">
        <v>5</v>
      </c>
      <c r="K75" s="276"/>
      <c r="L75" s="276">
        <v>5</v>
      </c>
      <c r="M75" s="276"/>
      <c r="N75" s="276">
        <v>5</v>
      </c>
      <c r="O75" s="73"/>
      <c r="P75" s="276"/>
      <c r="Q75" s="276">
        <v>5</v>
      </c>
      <c r="R75" s="276"/>
      <c r="S75" s="276">
        <v>5</v>
      </c>
      <c r="T75" s="276"/>
      <c r="U75" s="276">
        <v>5</v>
      </c>
      <c r="V75" s="276"/>
      <c r="W75" s="276">
        <v>5</v>
      </c>
      <c r="X75" s="276"/>
      <c r="Y75" s="276">
        <v>5</v>
      </c>
      <c r="Z75" s="77"/>
      <c r="AA75" s="276"/>
      <c r="AB75" s="276"/>
      <c r="AC75" s="276"/>
      <c r="AD75" s="276"/>
      <c r="AE75" s="276"/>
      <c r="AF75" s="276"/>
      <c r="AG75" s="276"/>
      <c r="AH75" s="276"/>
      <c r="AI75" s="276"/>
      <c r="AJ75" s="276"/>
      <c r="AK75" s="44" t="s">
        <v>11</v>
      </c>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CF75"/>
      <c r="CG75"/>
      <c r="CH75"/>
      <c r="CI75"/>
      <c r="CJ75"/>
    </row>
    <row r="76" spans="2:88" ht="14.1" customHeight="1">
      <c r="B76" s="373"/>
      <c r="C76" s="368"/>
      <c r="D76" s="74" t="s">
        <v>88</v>
      </c>
      <c r="E76" s="276">
        <v>5</v>
      </c>
      <c r="F76" s="276">
        <v>5</v>
      </c>
      <c r="G76" s="276"/>
      <c r="H76" s="276">
        <v>5</v>
      </c>
      <c r="I76" s="276"/>
      <c r="J76" s="276">
        <v>5</v>
      </c>
      <c r="K76" s="276"/>
      <c r="L76" s="276">
        <v>5</v>
      </c>
      <c r="M76" s="276"/>
      <c r="N76" s="276">
        <v>5</v>
      </c>
      <c r="O76" s="73"/>
      <c r="P76" s="276"/>
      <c r="Q76" s="276">
        <v>5</v>
      </c>
      <c r="R76" s="276"/>
      <c r="S76" s="276">
        <v>5</v>
      </c>
      <c r="T76" s="276"/>
      <c r="U76" s="276">
        <v>5</v>
      </c>
      <c r="V76" s="276"/>
      <c r="W76" s="276">
        <v>5</v>
      </c>
      <c r="X76" s="276"/>
      <c r="Y76" s="276">
        <v>5</v>
      </c>
      <c r="Z76" s="77"/>
      <c r="AA76" s="276"/>
      <c r="AB76" s="276"/>
      <c r="AC76" s="276"/>
      <c r="AD76" s="276"/>
      <c r="AE76" s="276"/>
      <c r="AF76" s="276"/>
      <c r="AG76" s="276"/>
      <c r="AH76" s="276"/>
      <c r="AI76" s="276"/>
      <c r="AJ76" s="276"/>
      <c r="AK76" s="44" t="s">
        <v>11</v>
      </c>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CF76"/>
      <c r="CG76"/>
      <c r="CH76"/>
      <c r="CI76"/>
      <c r="CJ76"/>
    </row>
    <row r="77" spans="2:88" ht="14.1" customHeight="1">
      <c r="B77" s="373"/>
      <c r="C77" s="369"/>
      <c r="D77" s="74" t="s">
        <v>86</v>
      </c>
      <c r="E77" s="276">
        <v>5</v>
      </c>
      <c r="F77" s="276">
        <v>5</v>
      </c>
      <c r="G77" s="276"/>
      <c r="H77" s="276">
        <v>5</v>
      </c>
      <c r="I77" s="276"/>
      <c r="J77" s="276">
        <v>5</v>
      </c>
      <c r="K77" s="276"/>
      <c r="L77" s="276">
        <v>5</v>
      </c>
      <c r="M77" s="276"/>
      <c r="N77" s="276">
        <v>5</v>
      </c>
      <c r="O77" s="73"/>
      <c r="P77" s="276"/>
      <c r="Q77" s="276">
        <v>5</v>
      </c>
      <c r="R77" s="276"/>
      <c r="S77" s="276">
        <v>5</v>
      </c>
      <c r="T77" s="276"/>
      <c r="U77" s="276">
        <v>5</v>
      </c>
      <c r="V77" s="276"/>
      <c r="W77" s="276">
        <v>5</v>
      </c>
      <c r="X77" s="276"/>
      <c r="Y77" s="276">
        <v>5</v>
      </c>
      <c r="Z77" s="77"/>
      <c r="AA77" s="276"/>
      <c r="AB77" s="276"/>
      <c r="AC77" s="276"/>
      <c r="AD77" s="276"/>
      <c r="AE77" s="276"/>
      <c r="AF77" s="276"/>
      <c r="AG77" s="276"/>
      <c r="AH77" s="276"/>
      <c r="AI77" s="276"/>
      <c r="AJ77" s="276"/>
      <c r="AK77" s="44" t="s">
        <v>11</v>
      </c>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CF77"/>
      <c r="CG77"/>
      <c r="CH77"/>
      <c r="CI77"/>
      <c r="CJ77"/>
    </row>
    <row r="78" spans="2:88" ht="14.25" customHeight="1">
      <c r="B78" s="62"/>
      <c r="C78" s="63"/>
      <c r="D78" s="62"/>
      <c r="E78" s="62"/>
      <c r="F78" s="60"/>
      <c r="G78" s="60"/>
      <c r="H78" s="60"/>
      <c r="I78" s="60"/>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CF78"/>
      <c r="CG78"/>
      <c r="CH78"/>
      <c r="CI78"/>
      <c r="CJ78"/>
    </row>
    <row r="79" spans="2:88" ht="36.75" customHeight="1">
      <c r="B79" s="387" t="s">
        <v>216</v>
      </c>
      <c r="C79" s="388"/>
      <c r="D79" s="388"/>
      <c r="E79" s="388"/>
      <c r="F79" s="388"/>
      <c r="G79" s="388"/>
      <c r="H79" s="388"/>
      <c r="I79" s="388"/>
      <c r="J79" s="388"/>
      <c r="K79" s="388"/>
      <c r="L79" s="388"/>
      <c r="M79" s="388"/>
      <c r="N79" s="388"/>
      <c r="O79" s="388"/>
      <c r="P79" s="388"/>
      <c r="Q79" s="388"/>
      <c r="R79" s="388"/>
      <c r="S79" s="388"/>
      <c r="T79" s="388"/>
      <c r="U79" s="388"/>
      <c r="V79" s="388"/>
      <c r="W79" s="388"/>
      <c r="X79" s="388"/>
      <c r="Y79" s="388"/>
      <c r="Z79" s="388"/>
      <c r="AA79" s="388"/>
      <c r="AB79" s="388"/>
      <c r="AC79" s="388"/>
      <c r="AD79" s="388"/>
      <c r="AE79" s="388"/>
      <c r="AF79" s="388"/>
      <c r="AG79" s="388"/>
      <c r="AH79" s="388"/>
      <c r="AI79" s="388"/>
      <c r="AJ79" s="388"/>
      <c r="AK79" s="388"/>
      <c r="AL79" s="389"/>
    </row>
    <row r="80" spans="2:88" ht="18.75" hidden="1" customHeight="1">
      <c r="B80" s="62"/>
      <c r="C80" s="63"/>
      <c r="D80" s="62"/>
      <c r="E80" s="60" t="str">
        <f>IF('DDR4 Config'!$H$1=1,'DDR4 Spec'!E6,IF('DDR4 Config'!$H$1=2,'DDR4 Spec'!P6,IF('DDR4 Config'!$H$1=3,'DDR4 Spec'!AA6,'DDR4 Spec'!#REF!)))</f>
        <v>-107E</v>
      </c>
      <c r="F80" s="60" t="str">
        <f>IF('DDR4 Config'!$H$1=1,'DDR4 Spec'!F6,IF('DDR4 Config'!$H$1=2,'DDR4 Spec'!Q6,IF('DDR4 Config'!$H$1=3,'DDR4 Spec'!AB6,'DDR4 Spec'!#REF!)))</f>
        <v>-093</v>
      </c>
      <c r="G80" s="60" t="str">
        <f>IF('DDR4 Config'!$H$1=1,'DDR4 Spec'!G6,IF('DDR4 Config'!$H$1=2,'DDR4 Spec'!R6,IF('DDR4 Config'!$H$1=3,'DDR4 Spec'!AC6,'DDR4 Spec'!#REF!)))</f>
        <v>-093E</v>
      </c>
      <c r="H80" s="60" t="str">
        <f>IF('DDR4 Config'!$H$1=1,'DDR4 Spec'!H6,IF('DDR4 Config'!$H$1=2,'DDR4 Spec'!S6,IF('DDR4 Config'!$H$1=3,'DDR4 Spec'!AD6,'DDR4 Spec'!#REF!)))</f>
        <v>-083</v>
      </c>
      <c r="I80" s="60" t="str">
        <f>IF('DDR4 Config'!$H$1=1,'DDR4 Spec'!I6,IF('DDR4 Config'!$H$1=2,'DDR4 Spec'!T6,IF('DDR4 Config'!$H$1=3,'DDR4 Spec'!AE6,'DDR4 Spec'!#REF!)))</f>
        <v>-083E</v>
      </c>
      <c r="J80" s="60" t="str">
        <f>IF('DDR4 Config'!$H$1=1,'DDR4 Spec'!J6,IF('DDR4 Config'!$H$1=2,'DDR4 Spec'!U6,IF('DDR4 Config'!$H$1=3,'DDR4 Spec'!AF6,'DDR4 Spec'!#REF!)))</f>
        <v>-075</v>
      </c>
      <c r="K80" s="60" t="str">
        <f>IF('DDR4 Config'!$H$1=1,'DDR4 Spec'!K6,IF('DDR4 Config'!$H$1=2,'DDR4 Spec'!V6,IF('DDR4 Config'!$H$1=3,'DDR4 Spec'!AG6,'DDR4 Spec'!#REF!)))</f>
        <v>-075E</v>
      </c>
      <c r="L80" s="60" t="str">
        <f>IF('DDR4 Config'!$H$1=1,'DDR4 Spec'!L6,IF('DDR4 Config'!$H$1=2,'DDR4 Spec'!W6,IF('DDR4 Config'!$H$1=3,'DDR4 Spec'!AH6,'DDR4 Spec'!#REF!)))</f>
        <v>-068</v>
      </c>
      <c r="M80" s="60" t="str">
        <f>IF('DDR4 Config'!$H$1=1,'DDR4 Spec'!M6,IF('DDR4 Config'!$H$1=2,'DDR4 Spec'!X6,IF('DDR4 Config'!$H$1=3,'DDR4 Spec'!AI6,'DDR4 Spec'!#REF!)))</f>
        <v>-068E</v>
      </c>
      <c r="N80" s="60" t="str">
        <f>IF('DDR4 Config'!$H$1=1,'DDR4 Spec'!N6,IF('DDR4 Config'!$H$1=2,'DDR4 Spec'!Y6,IF('DDR4 Config'!$H$1=3,'DDR4 Spec'!AJ6,'DDR4 Spec'!#REF!)))</f>
        <v>-062E</v>
      </c>
      <c r="O80" s="322" t="str">
        <f>'DDR4 Config'!D9</f>
        <v>-075E</v>
      </c>
      <c r="P80" s="60"/>
      <c r="Q80" s="60"/>
      <c r="R80" s="60"/>
      <c r="S80" s="60"/>
      <c r="T80" s="60"/>
      <c r="U80" s="60"/>
      <c r="V80" s="60"/>
      <c r="W80" s="60"/>
      <c r="X80" s="60"/>
      <c r="Y80" s="60"/>
      <c r="Z80" s="60"/>
      <c r="AA80" s="60"/>
      <c r="AB80" s="60"/>
      <c r="AC80" s="60"/>
      <c r="AD80" s="60"/>
      <c r="AE80" s="60"/>
      <c r="AF80" s="60"/>
      <c r="AG80" s="60"/>
      <c r="AH80" s="60"/>
      <c r="AI80" s="60"/>
      <c r="AJ80" s="60"/>
      <c r="AK80" s="60"/>
      <c r="AL80" s="41"/>
    </row>
    <row r="81" spans="2:38" ht="18.75" hidden="1" customHeight="1">
      <c r="B81" s="62"/>
      <c r="C81" s="63"/>
      <c r="D81" s="62"/>
      <c r="E81" s="60">
        <v>1</v>
      </c>
      <c r="F81" s="60">
        <v>2</v>
      </c>
      <c r="G81" s="60">
        <v>3</v>
      </c>
      <c r="H81" s="60">
        <v>4</v>
      </c>
      <c r="I81" s="60">
        <v>5</v>
      </c>
      <c r="J81" s="60">
        <v>6</v>
      </c>
      <c r="K81" s="60">
        <v>7</v>
      </c>
      <c r="L81" s="60">
        <v>8</v>
      </c>
      <c r="M81" s="60">
        <v>9</v>
      </c>
      <c r="N81" s="60">
        <v>10</v>
      </c>
      <c r="O81" s="322">
        <f>'DDR4 Config'!I1</f>
        <v>7</v>
      </c>
      <c r="P81" s="60"/>
      <c r="Q81" s="60"/>
      <c r="R81" s="60"/>
      <c r="S81" s="60"/>
      <c r="T81" s="60"/>
      <c r="U81" s="60"/>
      <c r="V81" s="60"/>
      <c r="W81" s="60"/>
      <c r="X81" s="60"/>
      <c r="Y81" s="60"/>
      <c r="Z81" s="60"/>
      <c r="AA81" s="60"/>
      <c r="AB81" s="60"/>
      <c r="AC81" s="60"/>
      <c r="AD81" s="60"/>
      <c r="AE81" s="60"/>
      <c r="AF81" s="60"/>
      <c r="AG81" s="60"/>
      <c r="AH81" s="60"/>
      <c r="AI81" s="60"/>
      <c r="AJ81" s="60"/>
      <c r="AK81" s="60"/>
      <c r="AL81" s="41"/>
    </row>
    <row r="82" spans="2:38" ht="18.75" hidden="1" customHeight="1">
      <c r="B82" s="62"/>
      <c r="C82" s="63"/>
      <c r="D82" s="62"/>
      <c r="E82" s="60">
        <f>IF('DDR4 Config'!$H$1=1,'DDR4 Spec'!E7,IF('DDR4 Config'!$H$1=2,'DDR4 Spec'!P7,IF('DDR4 Config'!$H$1=3,'DDR4 Spec'!AA7,'DDR4 Spec'!#REF!)))</f>
        <v>1.26</v>
      </c>
      <c r="F82" s="60">
        <f>IF('DDR4 Config'!$H$1=1,'DDR4 Spec'!F7,IF('DDR4 Config'!$H$1=2,'DDR4 Spec'!Q7,IF('DDR4 Config'!$H$1=3,'DDR4 Spec'!AB7,'DDR4 Spec'!AK7)))</f>
        <v>1.26</v>
      </c>
      <c r="G82" s="60">
        <f>IF('DDR4 Config'!$H$1=1,'DDR4 Spec'!G7,IF('DDR4 Config'!$H$1=2,'DDR4 Spec'!R7,IF('DDR4 Config'!$H$1=3,'DDR4 Spec'!AC7,'DDR4 Spec'!#REF!)))</f>
        <v>1.26</v>
      </c>
      <c r="H82" s="60">
        <f>IF('DDR4 Config'!$H$1=1,'DDR4 Spec'!H7,IF('DDR4 Config'!$H$1=2,'DDR4 Spec'!S7,IF('DDR4 Config'!$H$1=3,'DDR4 Spec'!AD7,'DDR4 Spec'!#REF!)))</f>
        <v>1.26</v>
      </c>
      <c r="I82" s="60">
        <f>IF('DDR4 Config'!$H$1=1,'DDR4 Spec'!I7,IF('DDR4 Config'!$H$1=2,'DDR4 Spec'!T7,IF('DDR4 Config'!$H$1=3,'DDR4 Spec'!AE7,'DDR4 Spec'!#REF!)))</f>
        <v>1.26</v>
      </c>
      <c r="J82" s="60">
        <f>IF('DDR4 Config'!$H$1=1,'DDR4 Spec'!J7,IF('DDR4 Config'!$H$1=2,'DDR4 Spec'!U7,IF('DDR4 Config'!$H$1=3,'DDR4 Spec'!AF7,'DDR4 Spec'!#REF!)))</f>
        <v>1.26</v>
      </c>
      <c r="K82" s="60">
        <f>IF('DDR4 Config'!$H$1=1,'DDR4 Spec'!K7,IF('DDR4 Config'!$H$1=2,'DDR4 Spec'!V7,IF('DDR4 Config'!$H$1=3,'DDR4 Spec'!AG7,'DDR4 Spec'!#REF!)))</f>
        <v>1.26</v>
      </c>
      <c r="L82" s="60">
        <f>IF('DDR4 Config'!$H$1=1,'DDR4 Spec'!L7,IF('DDR4 Config'!$H$1=2,'DDR4 Spec'!W7,IF('DDR4 Config'!$H$1=3,'DDR4 Spec'!AH7,'DDR4 Spec'!#REF!)))</f>
        <v>1.26</v>
      </c>
      <c r="M82" s="60">
        <f>IF('DDR4 Config'!$H$1=1,'DDR4 Spec'!M7,IF('DDR4 Config'!$H$1=2,'DDR4 Spec'!X7,IF('DDR4 Config'!$H$1=3,'DDR4 Spec'!AI7,'DDR4 Spec'!#REF!)))</f>
        <v>1.26</v>
      </c>
      <c r="N82" s="60">
        <f>IF('DDR4 Config'!$H$1=1,'DDR4 Spec'!N7,IF('DDR4 Config'!$H$1=2,'DDR4 Spec'!Y7,IF('DDR4 Config'!$H$1=3,'DDR4 Spec'!AJ7,'DDR4 Spec'!#REF!)))</f>
        <v>1.26</v>
      </c>
      <c r="O82" s="322">
        <f>HLOOKUP($O$81,$E$81:$N$140,2)</f>
        <v>1.26</v>
      </c>
      <c r="P82" s="60"/>
      <c r="Q82" s="60"/>
      <c r="R82" s="60"/>
      <c r="S82" s="60"/>
      <c r="T82" s="60"/>
      <c r="U82" s="60"/>
      <c r="V82" s="60"/>
      <c r="W82" s="60"/>
      <c r="X82" s="60"/>
      <c r="Y82" s="60"/>
      <c r="Z82" s="60"/>
      <c r="AA82" s="60"/>
      <c r="AB82" s="60"/>
      <c r="AC82" s="60"/>
      <c r="AD82" s="60"/>
      <c r="AE82" s="60"/>
      <c r="AF82" s="60"/>
      <c r="AG82" s="60"/>
      <c r="AH82" s="60"/>
      <c r="AI82" s="60"/>
      <c r="AJ82" s="60"/>
      <c r="AK82" s="60"/>
      <c r="AL82" s="41"/>
    </row>
    <row r="83" spans="2:38" ht="18.75" hidden="1" customHeight="1">
      <c r="B83" s="62"/>
      <c r="C83" s="63"/>
      <c r="D83" s="62"/>
      <c r="E83" s="60">
        <f>IF('DDR4 Config'!$H$1=1,'DDR4 Spec'!E8,IF('DDR4 Config'!$H$1=2,'DDR4 Spec'!P8,IF('DDR4 Config'!$H$1=3,'DDR4 Spec'!AA8,'DDR4 Spec'!#REF!)))</f>
        <v>1.1399999999999999</v>
      </c>
      <c r="F83" s="60">
        <f>IF('DDR4 Config'!$H$1=1,'DDR4 Spec'!F8,IF('DDR4 Config'!$H$1=2,'DDR4 Spec'!Q8,IF('DDR4 Config'!$H$1=3,'DDR4 Spec'!AB8,'DDR4 Spec'!AK8)))</f>
        <v>1.1399999999999999</v>
      </c>
      <c r="G83" s="60">
        <f>IF('DDR4 Config'!$H$1=1,'DDR4 Spec'!G8,IF('DDR4 Config'!$H$1=2,'DDR4 Spec'!R8,IF('DDR4 Config'!$H$1=3,'DDR4 Spec'!AC8,'DDR4 Spec'!#REF!)))</f>
        <v>1.1399999999999999</v>
      </c>
      <c r="H83" s="60">
        <f>IF('DDR4 Config'!$H$1=1,'DDR4 Spec'!H8,IF('DDR4 Config'!$H$1=2,'DDR4 Spec'!S8,IF('DDR4 Config'!$H$1=3,'DDR4 Spec'!AD8,'DDR4 Spec'!#REF!)))</f>
        <v>1.1399999999999999</v>
      </c>
      <c r="I83" s="60">
        <f>IF('DDR4 Config'!$H$1=1,'DDR4 Spec'!I8,IF('DDR4 Config'!$H$1=2,'DDR4 Spec'!T8,IF('DDR4 Config'!$H$1=3,'DDR4 Spec'!AE8,'DDR4 Spec'!#REF!)))</f>
        <v>1.1399999999999999</v>
      </c>
      <c r="J83" s="60">
        <f>IF('DDR4 Config'!$H$1=1,'DDR4 Spec'!J8,IF('DDR4 Config'!$H$1=2,'DDR4 Spec'!U8,IF('DDR4 Config'!$H$1=3,'DDR4 Spec'!AF8,'DDR4 Spec'!#REF!)))</f>
        <v>1.1399999999999999</v>
      </c>
      <c r="K83" s="60">
        <f>IF('DDR4 Config'!$H$1=1,'DDR4 Spec'!K8,IF('DDR4 Config'!$H$1=2,'DDR4 Spec'!V8,IF('DDR4 Config'!$H$1=3,'DDR4 Spec'!AG8,'DDR4 Spec'!#REF!)))</f>
        <v>1.1399999999999999</v>
      </c>
      <c r="L83" s="60">
        <f>IF('DDR4 Config'!$H$1=1,'DDR4 Spec'!L8,IF('DDR4 Config'!$H$1=2,'DDR4 Spec'!W8,IF('DDR4 Config'!$H$1=3,'DDR4 Spec'!AH8,'DDR4 Spec'!#REF!)))</f>
        <v>1.1399999999999999</v>
      </c>
      <c r="M83" s="60">
        <f>IF('DDR4 Config'!$H$1=1,'DDR4 Spec'!M8,IF('DDR4 Config'!$H$1=2,'DDR4 Spec'!X8,IF('DDR4 Config'!$H$1=3,'DDR4 Spec'!AI8,'DDR4 Spec'!#REF!)))</f>
        <v>1.1399999999999999</v>
      </c>
      <c r="N83" s="60">
        <f>IF('DDR4 Config'!$H$1=1,'DDR4 Spec'!N8,IF('DDR4 Config'!$H$1=2,'DDR4 Spec'!Y8,IF('DDR4 Config'!$H$1=3,'DDR4 Spec'!AJ8,'DDR4 Spec'!#REF!)))</f>
        <v>1.1399999999999999</v>
      </c>
      <c r="O83" s="322">
        <f>HLOOKUP($O$81,$E$81:$N$140,3)</f>
        <v>1.1399999999999999</v>
      </c>
      <c r="P83" s="60"/>
      <c r="Q83" s="60"/>
      <c r="R83" s="60" t="s">
        <v>191</v>
      </c>
      <c r="S83" s="60"/>
      <c r="T83" s="60"/>
      <c r="U83" s="60"/>
      <c r="V83" s="60"/>
      <c r="W83" s="60"/>
      <c r="X83" s="60"/>
      <c r="Y83" s="60"/>
      <c r="Z83" s="60"/>
      <c r="AA83" s="60"/>
      <c r="AB83" s="60"/>
      <c r="AC83" s="60"/>
      <c r="AD83" s="60"/>
      <c r="AE83" s="60"/>
      <c r="AF83" s="60"/>
      <c r="AG83" s="60"/>
      <c r="AH83" s="60"/>
      <c r="AI83" s="60"/>
      <c r="AJ83" s="60"/>
      <c r="AK83" s="60"/>
      <c r="AL83" s="41"/>
    </row>
    <row r="84" spans="2:38" ht="18.75" hidden="1" customHeight="1">
      <c r="B84" s="62"/>
      <c r="C84" s="63"/>
      <c r="D84" s="62"/>
      <c r="E84" s="60">
        <f>IF('DDR4 Config'!$H$1=1,'DDR4 Spec'!E9,IF('DDR4 Config'!$H$1=2,'DDR4 Spec'!P9,IF('DDR4 Config'!$H$1=3,'DDR4 Spec'!AA9,'DDR4 Spec'!#REF!)))</f>
        <v>2.75</v>
      </c>
      <c r="F84" s="60">
        <f>IF('DDR4 Config'!$H$1=1,'DDR4 Spec'!F9,IF('DDR4 Config'!$H$1=2,'DDR4 Spec'!Q9,IF('DDR4 Config'!$H$1=3,'DDR4 Spec'!AB9,'DDR4 Spec'!AK9)))</f>
        <v>2.75</v>
      </c>
      <c r="G84" s="60">
        <f>IF('DDR4 Config'!$H$1=1,'DDR4 Spec'!G9,IF('DDR4 Config'!$H$1=2,'DDR4 Spec'!R9,IF('DDR4 Config'!$H$1=3,'DDR4 Spec'!AC9,'DDR4 Spec'!#REF!)))</f>
        <v>2.75</v>
      </c>
      <c r="H84" s="60">
        <f>IF('DDR4 Config'!$H$1=1,'DDR4 Spec'!H9,IF('DDR4 Config'!$H$1=2,'DDR4 Spec'!S9,IF('DDR4 Config'!$H$1=3,'DDR4 Spec'!AD9,'DDR4 Spec'!#REF!)))</f>
        <v>2.75</v>
      </c>
      <c r="I84" s="60">
        <f>IF('DDR4 Config'!$H$1=1,'DDR4 Spec'!I9,IF('DDR4 Config'!$H$1=2,'DDR4 Spec'!T9,IF('DDR4 Config'!$H$1=3,'DDR4 Spec'!AE9,'DDR4 Spec'!#REF!)))</f>
        <v>2.75</v>
      </c>
      <c r="J84" s="60">
        <f>IF('DDR4 Config'!$H$1=1,'DDR4 Spec'!J9,IF('DDR4 Config'!$H$1=2,'DDR4 Spec'!U9,IF('DDR4 Config'!$H$1=3,'DDR4 Spec'!AF9,'DDR4 Spec'!#REF!)))</f>
        <v>2.75</v>
      </c>
      <c r="K84" s="60">
        <f>IF('DDR4 Config'!$H$1=1,'DDR4 Spec'!K9,IF('DDR4 Config'!$H$1=2,'DDR4 Spec'!V9,IF('DDR4 Config'!$H$1=3,'DDR4 Spec'!AG9,'DDR4 Spec'!#REF!)))</f>
        <v>2.75</v>
      </c>
      <c r="L84" s="60">
        <f>IF('DDR4 Config'!$H$1=1,'DDR4 Spec'!L9,IF('DDR4 Config'!$H$1=2,'DDR4 Spec'!W9,IF('DDR4 Config'!$H$1=3,'DDR4 Spec'!AH9,'DDR4 Spec'!#REF!)))</f>
        <v>2.75</v>
      </c>
      <c r="M84" s="60">
        <f>IF('DDR4 Config'!$H$1=1,'DDR4 Spec'!M9,IF('DDR4 Config'!$H$1=2,'DDR4 Spec'!X9,IF('DDR4 Config'!$H$1=3,'DDR4 Spec'!AI9,'DDR4 Spec'!#REF!)))</f>
        <v>2.75</v>
      </c>
      <c r="N84" s="60">
        <f>IF('DDR4 Config'!$H$1=1,'DDR4 Spec'!N9,IF('DDR4 Config'!$H$1=2,'DDR4 Spec'!Y9,IF('DDR4 Config'!$H$1=3,'DDR4 Spec'!AJ9,'DDR4 Spec'!#REF!)))</f>
        <v>2.75</v>
      </c>
      <c r="O84" s="322">
        <f>HLOOKUP($O$81,$E$81:$N$140,4)</f>
        <v>2.75</v>
      </c>
      <c r="P84" s="60"/>
      <c r="Q84" s="60"/>
      <c r="R84" s="60"/>
      <c r="S84" s="60"/>
      <c r="T84" s="60"/>
      <c r="U84" s="60"/>
      <c r="V84" s="60"/>
      <c r="W84" s="60"/>
      <c r="X84" s="60"/>
      <c r="Y84" s="60"/>
      <c r="Z84" s="60"/>
      <c r="AA84" s="60"/>
      <c r="AB84" s="60"/>
      <c r="AC84" s="60"/>
      <c r="AD84" s="60"/>
      <c r="AE84" s="60"/>
      <c r="AF84" s="60"/>
      <c r="AG84" s="60"/>
      <c r="AH84" s="60"/>
      <c r="AI84" s="60"/>
      <c r="AJ84" s="60"/>
      <c r="AK84" s="60"/>
      <c r="AL84" s="41"/>
    </row>
    <row r="85" spans="2:38" ht="18.75" hidden="1" customHeight="1">
      <c r="B85" s="62"/>
      <c r="C85" s="63"/>
      <c r="D85" s="62"/>
      <c r="E85" s="60">
        <f>IF('DDR4 Config'!$H$1=1,'DDR4 Spec'!E10,IF('DDR4 Config'!$H$1=2,'DDR4 Spec'!P10,IF('DDR4 Config'!$H$1=3,'DDR4 Spec'!AA10,'DDR4 Spec'!#REF!)))</f>
        <v>2.375</v>
      </c>
      <c r="F85" s="60">
        <f>IF('DDR4 Config'!$H$1=1,'DDR4 Spec'!F10,IF('DDR4 Config'!$H$1=2,'DDR4 Spec'!Q10,IF('DDR4 Config'!$H$1=3,'DDR4 Spec'!AB10,'DDR4 Spec'!AK10)))</f>
        <v>2.375</v>
      </c>
      <c r="G85" s="60">
        <f>IF('DDR4 Config'!$H$1=1,'DDR4 Spec'!G10,IF('DDR4 Config'!$H$1=2,'DDR4 Spec'!R10,IF('DDR4 Config'!$H$1=3,'DDR4 Spec'!AC10,'DDR4 Spec'!#REF!)))</f>
        <v>2.375</v>
      </c>
      <c r="H85" s="60">
        <f>IF('DDR4 Config'!$H$1=1,'DDR4 Spec'!H10,IF('DDR4 Config'!$H$1=2,'DDR4 Spec'!S10,IF('DDR4 Config'!$H$1=3,'DDR4 Spec'!AD10,'DDR4 Spec'!#REF!)))</f>
        <v>2.375</v>
      </c>
      <c r="I85" s="60">
        <f>IF('DDR4 Config'!$H$1=1,'DDR4 Spec'!I10,IF('DDR4 Config'!$H$1=2,'DDR4 Spec'!T10,IF('DDR4 Config'!$H$1=3,'DDR4 Spec'!AE10,'DDR4 Spec'!#REF!)))</f>
        <v>2.375</v>
      </c>
      <c r="J85" s="60">
        <f>IF('DDR4 Config'!$H$1=1,'DDR4 Spec'!J10,IF('DDR4 Config'!$H$1=2,'DDR4 Spec'!U10,IF('DDR4 Config'!$H$1=3,'DDR4 Spec'!AF10,'DDR4 Spec'!#REF!)))</f>
        <v>2.375</v>
      </c>
      <c r="K85" s="60">
        <f>IF('DDR4 Config'!$H$1=1,'DDR4 Spec'!K10,IF('DDR4 Config'!$H$1=2,'DDR4 Spec'!V10,IF('DDR4 Config'!$H$1=3,'DDR4 Spec'!AG10,'DDR4 Spec'!#REF!)))</f>
        <v>2.375</v>
      </c>
      <c r="L85" s="60">
        <f>IF('DDR4 Config'!$H$1=1,'DDR4 Spec'!L10,IF('DDR4 Config'!$H$1=2,'DDR4 Spec'!W10,IF('DDR4 Config'!$H$1=3,'DDR4 Spec'!AH10,'DDR4 Spec'!#REF!)))</f>
        <v>2.375</v>
      </c>
      <c r="M85" s="60">
        <f>IF('DDR4 Config'!$H$1=1,'DDR4 Spec'!M10,IF('DDR4 Config'!$H$1=2,'DDR4 Spec'!X10,IF('DDR4 Config'!$H$1=3,'DDR4 Spec'!AI10,'DDR4 Spec'!#REF!)))</f>
        <v>2.375</v>
      </c>
      <c r="N85" s="60">
        <f>IF('DDR4 Config'!$H$1=1,'DDR4 Spec'!N10,IF('DDR4 Config'!$H$1=2,'DDR4 Spec'!Y10,IF('DDR4 Config'!$H$1=3,'DDR4 Spec'!AJ10,'DDR4 Spec'!#REF!)))</f>
        <v>2.375</v>
      </c>
      <c r="O85" s="322">
        <f>HLOOKUP($O$81,$E$81:$N$140,5)</f>
        <v>2.375</v>
      </c>
      <c r="P85" s="60"/>
      <c r="Q85" s="60"/>
      <c r="R85" s="60"/>
      <c r="S85" s="60"/>
      <c r="T85" s="60"/>
      <c r="U85" s="60"/>
      <c r="V85" s="60"/>
      <c r="W85" s="60"/>
      <c r="X85" s="60"/>
      <c r="Y85" s="60"/>
      <c r="Z85" s="60"/>
      <c r="AA85" s="60"/>
      <c r="AB85" s="60"/>
      <c r="AC85" s="60"/>
      <c r="AD85" s="60"/>
      <c r="AE85" s="60"/>
      <c r="AF85" s="60"/>
      <c r="AG85" s="60"/>
      <c r="AH85" s="60"/>
      <c r="AI85" s="60"/>
      <c r="AJ85" s="60"/>
      <c r="AK85" s="60"/>
      <c r="AL85" s="41"/>
    </row>
    <row r="86" spans="2:38" ht="18.75" hidden="1" customHeight="1">
      <c r="B86" s="62"/>
      <c r="C86" s="63"/>
      <c r="D86" s="62"/>
      <c r="E86" s="60"/>
      <c r="F86" s="60"/>
      <c r="G86" s="60"/>
      <c r="H86" s="60"/>
      <c r="I86" s="60"/>
      <c r="J86" s="60"/>
      <c r="K86" s="60"/>
      <c r="L86" s="60"/>
      <c r="M86" s="60"/>
      <c r="N86" s="60"/>
      <c r="O86" s="322"/>
      <c r="P86" s="60"/>
      <c r="Q86" s="60"/>
      <c r="R86" s="60"/>
      <c r="S86" s="60"/>
      <c r="T86" s="60"/>
      <c r="U86" s="60"/>
      <c r="V86" s="60"/>
      <c r="W86" s="60"/>
      <c r="X86" s="60"/>
      <c r="Y86" s="60"/>
      <c r="Z86" s="60"/>
      <c r="AA86" s="60"/>
      <c r="AB86" s="60"/>
      <c r="AC86" s="60"/>
      <c r="AD86" s="60"/>
      <c r="AE86" s="60"/>
      <c r="AF86" s="60"/>
      <c r="AG86" s="60"/>
      <c r="AH86" s="60"/>
      <c r="AI86" s="60"/>
      <c r="AJ86" s="60"/>
      <c r="AK86" s="60"/>
      <c r="AL86" s="41"/>
    </row>
    <row r="87" spans="2:38" ht="18.75" hidden="1" customHeight="1">
      <c r="B87" s="304" t="s">
        <v>191</v>
      </c>
      <c r="C87" s="63">
        <v>69</v>
      </c>
      <c r="D87" s="373" t="s">
        <v>172</v>
      </c>
      <c r="E87" s="60">
        <f>IF('DDR4 Config'!$H$1=1,'DDR4 Spec'!E12,IF('DDR4 Config'!$H$1=2,'DDR4 Spec'!P12,IF('DDR4 Config'!$H$1=3,'DDR4 Spec'!AA12,'DDR4 Spec'!#REF!)))</f>
        <v>40</v>
      </c>
      <c r="F87" s="60">
        <f>IF('DDR4 Config'!$H$1=1,'DDR4 Spec'!F12,IF('DDR4 Config'!$H$1=2,'DDR4 Spec'!Q12,IF('DDR4 Config'!$H$1=3,'DDR4 Spec'!AB12,'DDR4 Spec'!#REF!)))</f>
        <v>40</v>
      </c>
      <c r="G87" s="60">
        <f>IF('DDR4 Config'!$H$1=1,'DDR4 Spec'!G12,IF('DDR4 Config'!$H$1=2,'DDR4 Spec'!R12,IF('DDR4 Config'!$H$1=3,'DDR4 Spec'!AC12,'DDR4 Spec'!#REF!)))</f>
        <v>40</v>
      </c>
      <c r="H87" s="60">
        <f>IF('DDR4 Config'!$H$1=1,'DDR4 Spec'!H12,IF('DDR4 Config'!$H$1=2,'DDR4 Spec'!S12,IF('DDR4 Config'!$H$1=3,'DDR4 Spec'!AD12,'DDR4 Spec'!#REF!)))</f>
        <v>43</v>
      </c>
      <c r="I87" s="60">
        <f>IF('DDR4 Config'!$H$1=1,'DDR4 Spec'!I12,IF('DDR4 Config'!$H$1=2,'DDR4 Spec'!T12,IF('DDR4 Config'!$H$1=3,'DDR4 Spec'!AE12,'DDR4 Spec'!#REF!)))</f>
        <v>43</v>
      </c>
      <c r="J87" s="60">
        <f>IF('DDR4 Config'!$H$1=1,'DDR4 Spec'!J12,IF('DDR4 Config'!$H$1=2,'DDR4 Spec'!U12,IF('DDR4 Config'!$H$1=3,'DDR4 Spec'!AF12,'DDR4 Spec'!#REF!)))</f>
        <v>46</v>
      </c>
      <c r="K87" s="60">
        <f>IF('DDR4 Config'!$H$1=1,'DDR4 Spec'!K12,IF('DDR4 Config'!$H$1=2,'DDR4 Spec'!V12,IF('DDR4 Config'!$H$1=3,'DDR4 Spec'!AG12,'DDR4 Spec'!#REF!)))</f>
        <v>46</v>
      </c>
      <c r="L87" s="60">
        <f>IF('DDR4 Config'!$H$1=1,'DDR4 Spec'!L12,IF('DDR4 Config'!$H$1=2,'DDR4 Spec'!W12,IF('DDR4 Config'!$H$1=3,'DDR4 Spec'!AH12,'DDR4 Spec'!#REF!)))</f>
        <v>49</v>
      </c>
      <c r="M87" s="60">
        <f>IF('DDR4 Config'!$H$1=1,'DDR4 Spec'!M12,IF('DDR4 Config'!$H$1=2,'DDR4 Spec'!X12,IF('DDR4 Config'!$H$1=3,'DDR4 Spec'!AI12,'DDR4 Spec'!#REF!)))</f>
        <v>49</v>
      </c>
      <c r="N87" s="60">
        <f>IF('DDR4 Config'!$H$1=1,'DDR4 Spec'!N12,IF('DDR4 Config'!$H$1=2,'DDR4 Spec'!Y12,IF('DDR4 Config'!$H$1=3,'DDR4 Spec'!AJ12,'DDR4 Spec'!#REF!)))</f>
        <v>52</v>
      </c>
      <c r="O87" s="322">
        <f>HLOOKUP($O$81,$E$81:$N$140,7)</f>
        <v>46</v>
      </c>
      <c r="P87" s="60"/>
      <c r="Q87" s="60"/>
      <c r="R87" s="60"/>
      <c r="S87" s="60"/>
      <c r="T87" s="60"/>
      <c r="U87" s="60"/>
      <c r="V87" s="60"/>
      <c r="W87" s="60"/>
      <c r="X87" s="60"/>
      <c r="Y87" s="60"/>
      <c r="Z87" s="60"/>
      <c r="AA87" s="60"/>
      <c r="AB87" s="60"/>
      <c r="AC87" s="60"/>
      <c r="AD87" s="60"/>
      <c r="AE87" s="60"/>
      <c r="AF87" s="60"/>
      <c r="AG87" s="60"/>
      <c r="AH87" s="60"/>
      <c r="AI87" s="60"/>
      <c r="AJ87" s="60"/>
      <c r="AK87" s="60"/>
      <c r="AL87" s="41"/>
    </row>
    <row r="88" spans="2:38" ht="18.75" hidden="1" customHeight="1">
      <c r="B88" s="62"/>
      <c r="C88" s="63">
        <f>C87+1</f>
        <v>70</v>
      </c>
      <c r="D88" s="373"/>
      <c r="E88" s="60">
        <f>IF('DDR4 Config'!$H$1=1,'DDR4 Spec'!E13,IF('DDR4 Config'!$H$1=2,'DDR4 Spec'!P13,IF('DDR4 Config'!$H$1=3,'DDR4 Spec'!AA13,'DDR4 Spec'!#REF!)))</f>
        <v>45</v>
      </c>
      <c r="F88" s="60">
        <f>IF('DDR4 Config'!$H$1=1,'DDR4 Spec'!F13,IF('DDR4 Config'!$H$1=2,'DDR4 Spec'!Q13,IF('DDR4 Config'!$H$1=3,'DDR4 Spec'!AB13,'DDR4 Spec'!#REF!)))</f>
        <v>45</v>
      </c>
      <c r="G88" s="60">
        <f>IF('DDR4 Config'!$H$1=1,'DDR4 Spec'!G13,IF('DDR4 Config'!$H$1=2,'DDR4 Spec'!R13,IF('DDR4 Config'!$H$1=3,'DDR4 Spec'!AC13,'DDR4 Spec'!#REF!)))</f>
        <v>45</v>
      </c>
      <c r="H88" s="60">
        <f>IF('DDR4 Config'!$H$1=1,'DDR4 Spec'!H13,IF('DDR4 Config'!$H$1=2,'DDR4 Spec'!S13,IF('DDR4 Config'!$H$1=3,'DDR4 Spec'!AD13,'DDR4 Spec'!#REF!)))</f>
        <v>48</v>
      </c>
      <c r="I88" s="60">
        <f>IF('DDR4 Config'!$H$1=1,'DDR4 Spec'!I13,IF('DDR4 Config'!$H$1=2,'DDR4 Spec'!T13,IF('DDR4 Config'!$H$1=3,'DDR4 Spec'!AE13,'DDR4 Spec'!#REF!)))</f>
        <v>48</v>
      </c>
      <c r="J88" s="60">
        <f>IF('DDR4 Config'!$H$1=1,'DDR4 Spec'!J13,IF('DDR4 Config'!$H$1=2,'DDR4 Spec'!U13,IF('DDR4 Config'!$H$1=3,'DDR4 Spec'!AF13,'DDR4 Spec'!#REF!)))</f>
        <v>51</v>
      </c>
      <c r="K88" s="60">
        <f>IF('DDR4 Config'!$H$1=1,'DDR4 Spec'!K13,IF('DDR4 Config'!$H$1=2,'DDR4 Spec'!V13,IF('DDR4 Config'!$H$1=3,'DDR4 Spec'!AG13,'DDR4 Spec'!#REF!)))</f>
        <v>51</v>
      </c>
      <c r="L88" s="60">
        <f>IF('DDR4 Config'!$H$1=1,'DDR4 Spec'!L13,IF('DDR4 Config'!$H$1=2,'DDR4 Spec'!W13,IF('DDR4 Config'!$H$1=3,'DDR4 Spec'!AH13,'DDR4 Spec'!#REF!)))</f>
        <v>54</v>
      </c>
      <c r="M88" s="60">
        <f>IF('DDR4 Config'!$H$1=1,'DDR4 Spec'!M13,IF('DDR4 Config'!$H$1=2,'DDR4 Spec'!X13,IF('DDR4 Config'!$H$1=3,'DDR4 Spec'!AI13,'DDR4 Spec'!#REF!)))</f>
        <v>54</v>
      </c>
      <c r="N88" s="60">
        <f>IF('DDR4 Config'!$H$1=1,'DDR4 Spec'!N13,IF('DDR4 Config'!$H$1=2,'DDR4 Spec'!Y13,IF('DDR4 Config'!$H$1=3,'DDR4 Spec'!AJ13,'DDR4 Spec'!#REF!)))</f>
        <v>57</v>
      </c>
      <c r="O88" s="322">
        <f>HLOOKUP($O$81,$E$81:$N$140,8)</f>
        <v>51</v>
      </c>
      <c r="P88" s="60"/>
      <c r="Q88" s="60"/>
      <c r="R88" s="60"/>
      <c r="S88" s="60"/>
      <c r="T88" s="60"/>
      <c r="U88" s="60"/>
      <c r="V88" s="60"/>
      <c r="W88" s="60"/>
      <c r="X88" s="60"/>
      <c r="Y88" s="60"/>
      <c r="Z88" s="60"/>
      <c r="AA88" s="60"/>
      <c r="AB88" s="60"/>
      <c r="AC88" s="60"/>
      <c r="AD88" s="60"/>
      <c r="AE88" s="60"/>
      <c r="AF88" s="60"/>
      <c r="AG88" s="60"/>
      <c r="AH88" s="60"/>
      <c r="AI88" s="60"/>
      <c r="AJ88" s="60"/>
      <c r="AK88" s="60"/>
      <c r="AL88" s="41"/>
    </row>
    <row r="89" spans="2:38" ht="18.75" hidden="1" customHeight="1">
      <c r="B89" s="62"/>
      <c r="C89" s="63">
        <f t="shared" ref="C89:C125" si="28">C88+1</f>
        <v>71</v>
      </c>
      <c r="D89" s="373"/>
      <c r="E89" s="60">
        <f>IF('DDR4 Config'!$H$1=1,'DDR4 Spec'!E14,IF('DDR4 Config'!$H$1=2,'DDR4 Spec'!P14,IF('DDR4 Config'!$H$1=3,'DDR4 Spec'!AA14,'DDR4 Spec'!#REF!)))</f>
        <v>75</v>
      </c>
      <c r="F89" s="60">
        <f>IF('DDR4 Config'!$H$1=1,'DDR4 Spec'!F14,IF('DDR4 Config'!$H$1=2,'DDR4 Spec'!Q14,IF('DDR4 Config'!$H$1=3,'DDR4 Spec'!AB14,'DDR4 Spec'!#REF!)))</f>
        <v>75</v>
      </c>
      <c r="G89" s="60">
        <f>IF('DDR4 Config'!$H$1=1,'DDR4 Spec'!G14,IF('DDR4 Config'!$H$1=2,'DDR4 Spec'!R14,IF('DDR4 Config'!$H$1=3,'DDR4 Spec'!AC14,'DDR4 Spec'!#REF!)))</f>
        <v>75</v>
      </c>
      <c r="H89" s="60">
        <f>IF('DDR4 Config'!$H$1=1,'DDR4 Spec'!H14,IF('DDR4 Config'!$H$1=2,'DDR4 Spec'!S14,IF('DDR4 Config'!$H$1=3,'DDR4 Spec'!AD14,'DDR4 Spec'!#REF!)))</f>
        <v>80</v>
      </c>
      <c r="I89" s="60">
        <f>IF('DDR4 Config'!$H$1=1,'DDR4 Spec'!I14,IF('DDR4 Config'!$H$1=2,'DDR4 Spec'!T14,IF('DDR4 Config'!$H$1=3,'DDR4 Spec'!AE14,'DDR4 Spec'!#REF!)))</f>
        <v>80</v>
      </c>
      <c r="J89" s="60">
        <f>IF('DDR4 Config'!$H$1=1,'DDR4 Spec'!J14,IF('DDR4 Config'!$H$1=2,'DDR4 Spec'!U14,IF('DDR4 Config'!$H$1=3,'DDR4 Spec'!AF14,'DDR4 Spec'!#REF!)))</f>
        <v>85</v>
      </c>
      <c r="K89" s="60">
        <f>IF('DDR4 Config'!$H$1=1,'DDR4 Spec'!K14,IF('DDR4 Config'!$H$1=2,'DDR4 Spec'!V14,IF('DDR4 Config'!$H$1=3,'DDR4 Spec'!AG14,'DDR4 Spec'!#REF!)))</f>
        <v>85</v>
      </c>
      <c r="L89" s="60">
        <f>IF('DDR4 Config'!$H$1=1,'DDR4 Spec'!L14,IF('DDR4 Config'!$H$1=2,'DDR4 Spec'!W14,IF('DDR4 Config'!$H$1=3,'DDR4 Spec'!AH14,'DDR4 Spec'!#REF!)))</f>
        <v>90</v>
      </c>
      <c r="M89" s="60">
        <f>IF('DDR4 Config'!$H$1=1,'DDR4 Spec'!M14,IF('DDR4 Config'!$H$1=2,'DDR4 Spec'!X14,IF('DDR4 Config'!$H$1=3,'DDR4 Spec'!AI14,'DDR4 Spec'!#REF!)))</f>
        <v>90</v>
      </c>
      <c r="N89" s="60">
        <f>IF('DDR4 Config'!$H$1=1,'DDR4 Spec'!N14,IF('DDR4 Config'!$H$1=2,'DDR4 Spec'!Y14,IF('DDR4 Config'!$H$1=3,'DDR4 Spec'!AJ14,'DDR4 Spec'!#REF!)))</f>
        <v>95</v>
      </c>
      <c r="O89" s="322">
        <f>HLOOKUP($O$81,$E$81:$N$140,9)</f>
        <v>85</v>
      </c>
      <c r="P89" s="60"/>
      <c r="Q89" s="60"/>
      <c r="R89" s="60"/>
      <c r="S89" s="60"/>
      <c r="T89" s="60"/>
      <c r="U89" s="60"/>
      <c r="V89" s="60"/>
      <c r="W89" s="60"/>
      <c r="X89" s="60"/>
      <c r="Y89" s="60"/>
      <c r="Z89" s="60"/>
      <c r="AA89" s="60"/>
      <c r="AB89" s="60"/>
      <c r="AC89" s="60"/>
      <c r="AD89" s="60"/>
      <c r="AE89" s="60"/>
      <c r="AF89" s="60"/>
      <c r="AG89" s="60"/>
      <c r="AH89" s="60"/>
      <c r="AI89" s="60"/>
      <c r="AJ89" s="60"/>
      <c r="AK89" s="60"/>
      <c r="AL89" s="41"/>
    </row>
    <row r="90" spans="2:38" ht="18.75" hidden="1" customHeight="1">
      <c r="B90" s="62"/>
      <c r="C90" s="63">
        <f t="shared" si="28"/>
        <v>72</v>
      </c>
      <c r="D90" s="373" t="s">
        <v>237</v>
      </c>
      <c r="E90" s="60">
        <f>IF('DDR4 Config'!$H$1=1,'DDR4 Spec'!E15,IF('DDR4 Config'!$H$1=2,'DDR4 Spec'!P15,IF('DDR4 Config'!$H$1=3,'DDR4 Spec'!AA15,'DDR4 Spec'!#REF!)))</f>
        <v>3</v>
      </c>
      <c r="F90" s="60">
        <f>IF('DDR4 Config'!$H$1=1,'DDR4 Spec'!F15,IF('DDR4 Config'!$H$1=2,'DDR4 Spec'!Q15,IF('DDR4 Config'!$H$1=3,'DDR4 Spec'!AB15,'DDR4 Spec'!#REF!)))</f>
        <v>3</v>
      </c>
      <c r="G90" s="60">
        <f>IF('DDR4 Config'!$H$1=1,'DDR4 Spec'!G15,IF('DDR4 Config'!$H$1=2,'DDR4 Spec'!R15,IF('DDR4 Config'!$H$1=3,'DDR4 Spec'!AC15,'DDR4 Spec'!#REF!)))</f>
        <v>3</v>
      </c>
      <c r="H90" s="60">
        <f>IF('DDR4 Config'!$H$1=1,'DDR4 Spec'!H15,IF('DDR4 Config'!$H$1=2,'DDR4 Spec'!S15,IF('DDR4 Config'!$H$1=3,'DDR4 Spec'!AD15,'DDR4 Spec'!#REF!)))</f>
        <v>3</v>
      </c>
      <c r="I90" s="60">
        <f>IF('DDR4 Config'!$H$1=1,'DDR4 Spec'!I15,IF('DDR4 Config'!$H$1=2,'DDR4 Spec'!T15,IF('DDR4 Config'!$H$1=3,'DDR4 Spec'!AE15,'DDR4 Spec'!#REF!)))</f>
        <v>3</v>
      </c>
      <c r="J90" s="60">
        <f>IF('DDR4 Config'!$H$1=1,'DDR4 Spec'!J15,IF('DDR4 Config'!$H$1=2,'DDR4 Spec'!U15,IF('DDR4 Config'!$H$1=3,'DDR4 Spec'!AF15,'DDR4 Spec'!#REF!)))</f>
        <v>3</v>
      </c>
      <c r="K90" s="60">
        <f>IF('DDR4 Config'!$H$1=1,'DDR4 Spec'!K15,IF('DDR4 Config'!$H$1=2,'DDR4 Spec'!V15,IF('DDR4 Config'!$H$1=3,'DDR4 Spec'!AG15,'DDR4 Spec'!#REF!)))</f>
        <v>3</v>
      </c>
      <c r="L90" s="60">
        <f>IF('DDR4 Config'!$H$1=1,'DDR4 Spec'!L15,IF('DDR4 Config'!$H$1=2,'DDR4 Spec'!W15,IF('DDR4 Config'!$H$1=3,'DDR4 Spec'!AH15,'DDR4 Spec'!#REF!)))</f>
        <v>3</v>
      </c>
      <c r="M90" s="60">
        <f>IF('DDR4 Config'!$H$1=1,'DDR4 Spec'!M15,IF('DDR4 Config'!$H$1=2,'DDR4 Spec'!X15,IF('DDR4 Config'!$H$1=3,'DDR4 Spec'!AI15,'DDR4 Spec'!#REF!)))</f>
        <v>3</v>
      </c>
      <c r="N90" s="60">
        <f>IF('DDR4 Config'!$H$1=1,'DDR4 Spec'!N15,IF('DDR4 Config'!$H$1=2,'DDR4 Spec'!Y15,IF('DDR4 Config'!$H$1=3,'DDR4 Spec'!AJ15,'DDR4 Spec'!#REF!)))</f>
        <v>3</v>
      </c>
      <c r="O90" s="322">
        <f>HLOOKUP($O$81,$E$81:$N$140,10)</f>
        <v>3</v>
      </c>
      <c r="P90" s="60"/>
      <c r="Q90" s="60"/>
      <c r="R90" s="60"/>
      <c r="S90" s="60"/>
      <c r="T90" s="60"/>
      <c r="U90" s="60"/>
      <c r="V90" s="60"/>
      <c r="W90" s="60"/>
      <c r="X90" s="60"/>
      <c r="Y90" s="60"/>
      <c r="Z90" s="60"/>
      <c r="AA90" s="60"/>
      <c r="AB90" s="60"/>
      <c r="AC90" s="60"/>
      <c r="AD90" s="60"/>
      <c r="AE90" s="60"/>
      <c r="AF90" s="60"/>
      <c r="AG90" s="60"/>
      <c r="AH90" s="60"/>
      <c r="AI90" s="60"/>
      <c r="AJ90" s="60"/>
      <c r="AK90" s="60"/>
      <c r="AL90" s="41"/>
    </row>
    <row r="91" spans="2:38" ht="18.75" hidden="1" customHeight="1">
      <c r="B91" s="62"/>
      <c r="C91" s="63">
        <f t="shared" si="28"/>
        <v>73</v>
      </c>
      <c r="D91" s="373"/>
      <c r="E91" s="60">
        <f>IF('DDR4 Config'!$H$1=1,'DDR4 Spec'!E16,IF('DDR4 Config'!$H$1=2,'DDR4 Spec'!P16,IF('DDR4 Config'!$H$1=3,'DDR4 Spec'!AA16,'DDR4 Spec'!#REF!)))</f>
        <v>3</v>
      </c>
      <c r="F91" s="60">
        <f>IF('DDR4 Config'!$H$1=1,'DDR4 Spec'!F16,IF('DDR4 Config'!$H$1=2,'DDR4 Spec'!Q16,IF('DDR4 Config'!$H$1=3,'DDR4 Spec'!AB16,'DDR4 Spec'!#REF!)))</f>
        <v>3</v>
      </c>
      <c r="G91" s="60">
        <f>IF('DDR4 Config'!$H$1=1,'DDR4 Spec'!G16,IF('DDR4 Config'!$H$1=2,'DDR4 Spec'!R16,IF('DDR4 Config'!$H$1=3,'DDR4 Spec'!AC16,'DDR4 Spec'!#REF!)))</f>
        <v>3</v>
      </c>
      <c r="H91" s="60">
        <f>IF('DDR4 Config'!$H$1=1,'DDR4 Spec'!H16,IF('DDR4 Config'!$H$1=2,'DDR4 Spec'!S16,IF('DDR4 Config'!$H$1=3,'DDR4 Spec'!AD16,'DDR4 Spec'!#REF!)))</f>
        <v>3</v>
      </c>
      <c r="I91" s="60">
        <f>IF('DDR4 Config'!$H$1=1,'DDR4 Spec'!I16,IF('DDR4 Config'!$H$1=2,'DDR4 Spec'!T16,IF('DDR4 Config'!$H$1=3,'DDR4 Spec'!AE16,'DDR4 Spec'!#REF!)))</f>
        <v>3</v>
      </c>
      <c r="J91" s="60">
        <f>IF('DDR4 Config'!$H$1=1,'DDR4 Spec'!J16,IF('DDR4 Config'!$H$1=2,'DDR4 Spec'!U16,IF('DDR4 Config'!$H$1=3,'DDR4 Spec'!AF16,'DDR4 Spec'!#REF!)))</f>
        <v>3</v>
      </c>
      <c r="K91" s="60">
        <f>IF('DDR4 Config'!$H$1=1,'DDR4 Spec'!K16,IF('DDR4 Config'!$H$1=2,'DDR4 Spec'!V16,IF('DDR4 Config'!$H$1=3,'DDR4 Spec'!AG16,'DDR4 Spec'!#REF!)))</f>
        <v>3</v>
      </c>
      <c r="L91" s="60">
        <f>IF('DDR4 Config'!$H$1=1,'DDR4 Spec'!L16,IF('DDR4 Config'!$H$1=2,'DDR4 Spec'!W16,IF('DDR4 Config'!$H$1=3,'DDR4 Spec'!AH16,'DDR4 Spec'!#REF!)))</f>
        <v>3</v>
      </c>
      <c r="M91" s="60">
        <f>IF('DDR4 Config'!$H$1=1,'DDR4 Spec'!M16,IF('DDR4 Config'!$H$1=2,'DDR4 Spec'!X16,IF('DDR4 Config'!$H$1=3,'DDR4 Spec'!AI16,'DDR4 Spec'!#REF!)))</f>
        <v>3</v>
      </c>
      <c r="N91" s="60">
        <f>IF('DDR4 Config'!$H$1=1,'DDR4 Spec'!N16,IF('DDR4 Config'!$H$1=2,'DDR4 Spec'!Y16,IF('DDR4 Config'!$H$1=3,'DDR4 Spec'!AJ16,'DDR4 Spec'!#REF!)))</f>
        <v>3</v>
      </c>
      <c r="O91" s="322">
        <f>HLOOKUP($O$81,$E$81:$N$140,11)</f>
        <v>3</v>
      </c>
      <c r="P91" s="60"/>
      <c r="Q91" s="60"/>
      <c r="R91" s="60"/>
      <c r="S91" s="60"/>
      <c r="T91" s="60"/>
      <c r="U91" s="60"/>
      <c r="V91" s="60"/>
      <c r="W91" s="60"/>
      <c r="X91" s="60"/>
      <c r="Y91" s="60"/>
      <c r="Z91" s="60"/>
      <c r="AA91" s="60"/>
      <c r="AB91" s="60"/>
      <c r="AC91" s="60"/>
      <c r="AD91" s="60"/>
      <c r="AE91" s="60"/>
      <c r="AF91" s="60"/>
      <c r="AG91" s="60"/>
      <c r="AH91" s="60"/>
      <c r="AI91" s="60"/>
      <c r="AJ91" s="60"/>
      <c r="AK91" s="60"/>
      <c r="AL91" s="41"/>
    </row>
    <row r="92" spans="2:38" ht="18.75" hidden="1" customHeight="1">
      <c r="B92" s="62"/>
      <c r="C92" s="63">
        <f t="shared" si="28"/>
        <v>74</v>
      </c>
      <c r="D92" s="373"/>
      <c r="E92" s="60">
        <f>IF('DDR4 Config'!$H$1=1,'DDR4 Spec'!E17,IF('DDR4 Config'!$H$1=2,'DDR4 Spec'!P17,IF('DDR4 Config'!$H$1=3,'DDR4 Spec'!AA17,'DDR4 Spec'!#REF!)))</f>
        <v>4</v>
      </c>
      <c r="F92" s="60">
        <f>IF('DDR4 Config'!$H$1=1,'DDR4 Spec'!F17,IF('DDR4 Config'!$H$1=2,'DDR4 Spec'!Q17,IF('DDR4 Config'!$H$1=3,'DDR4 Spec'!AB17,'DDR4 Spec'!#REF!)))</f>
        <v>4</v>
      </c>
      <c r="G92" s="60">
        <f>IF('DDR4 Config'!$H$1=1,'DDR4 Spec'!G17,IF('DDR4 Config'!$H$1=2,'DDR4 Spec'!R17,IF('DDR4 Config'!$H$1=3,'DDR4 Spec'!AC17,'DDR4 Spec'!#REF!)))</f>
        <v>4</v>
      </c>
      <c r="H92" s="60">
        <f>IF('DDR4 Config'!$H$1=1,'DDR4 Spec'!H17,IF('DDR4 Config'!$H$1=2,'DDR4 Spec'!S17,IF('DDR4 Config'!$H$1=3,'DDR4 Spec'!AD17,'DDR4 Spec'!#REF!)))</f>
        <v>4</v>
      </c>
      <c r="I92" s="60">
        <f>IF('DDR4 Config'!$H$1=1,'DDR4 Spec'!I17,IF('DDR4 Config'!$H$1=2,'DDR4 Spec'!T17,IF('DDR4 Config'!$H$1=3,'DDR4 Spec'!AE17,'DDR4 Spec'!#REF!)))</f>
        <v>4</v>
      </c>
      <c r="J92" s="60">
        <f>IF('DDR4 Config'!$H$1=1,'DDR4 Spec'!J17,IF('DDR4 Config'!$H$1=2,'DDR4 Spec'!U17,IF('DDR4 Config'!$H$1=3,'DDR4 Spec'!AF17,'DDR4 Spec'!#REF!)))</f>
        <v>4</v>
      </c>
      <c r="K92" s="60">
        <f>IF('DDR4 Config'!$H$1=1,'DDR4 Spec'!K17,IF('DDR4 Config'!$H$1=2,'DDR4 Spec'!V17,IF('DDR4 Config'!$H$1=3,'DDR4 Spec'!AG17,'DDR4 Spec'!#REF!)))</f>
        <v>4</v>
      </c>
      <c r="L92" s="60">
        <f>IF('DDR4 Config'!$H$1=1,'DDR4 Spec'!L17,IF('DDR4 Config'!$H$1=2,'DDR4 Spec'!W17,IF('DDR4 Config'!$H$1=3,'DDR4 Spec'!AH17,'DDR4 Spec'!#REF!)))</f>
        <v>4</v>
      </c>
      <c r="M92" s="60">
        <f>IF('DDR4 Config'!$H$1=1,'DDR4 Spec'!M17,IF('DDR4 Config'!$H$1=2,'DDR4 Spec'!X17,IF('DDR4 Config'!$H$1=3,'DDR4 Spec'!AI17,'DDR4 Spec'!#REF!)))</f>
        <v>4</v>
      </c>
      <c r="N92" s="60">
        <f>IF('DDR4 Config'!$H$1=1,'DDR4 Spec'!N17,IF('DDR4 Config'!$H$1=2,'DDR4 Spec'!Y17,IF('DDR4 Config'!$H$1=3,'DDR4 Spec'!AJ17,'DDR4 Spec'!#REF!)))</f>
        <v>4</v>
      </c>
      <c r="O92" s="322">
        <f>HLOOKUP($O$81,$E$81:$N$140,12)</f>
        <v>4</v>
      </c>
      <c r="P92" s="60"/>
      <c r="Q92" s="60"/>
      <c r="R92" s="60"/>
      <c r="S92" s="60"/>
      <c r="T92" s="60"/>
      <c r="U92" s="60"/>
      <c r="V92" s="60"/>
      <c r="W92" s="60"/>
      <c r="X92" s="60"/>
      <c r="Y92" s="60"/>
      <c r="Z92" s="60"/>
      <c r="AA92" s="60"/>
      <c r="AB92" s="60"/>
      <c r="AC92" s="60"/>
      <c r="AD92" s="60"/>
      <c r="AE92" s="60"/>
      <c r="AF92" s="60"/>
      <c r="AG92" s="60"/>
      <c r="AH92" s="60"/>
      <c r="AI92" s="60"/>
      <c r="AJ92" s="60"/>
      <c r="AK92" s="60"/>
      <c r="AL92" s="41"/>
    </row>
    <row r="93" spans="2:38" ht="18.75" hidden="1" customHeight="1">
      <c r="B93" s="62"/>
      <c r="C93" s="63">
        <f t="shared" si="28"/>
        <v>75</v>
      </c>
      <c r="D93" s="384" t="s">
        <v>183</v>
      </c>
      <c r="E93" s="60">
        <f>IF('DDR4 Config'!$H$1=1,'DDR4 Spec'!E18,IF('DDR4 Config'!$H$1=2,'DDR4 Spec'!P18,IF('DDR4 Config'!$H$1=3,'DDR4 Spec'!AA18,'DDR4 Spec'!#REF!)))</f>
        <v>25</v>
      </c>
      <c r="F93" s="60">
        <f>IF('DDR4 Config'!$H$1=1,'DDR4 Spec'!F18,IF('DDR4 Config'!$H$1=2,'DDR4 Spec'!Q18,IF('DDR4 Config'!$H$1=3,'DDR4 Spec'!AB18,'DDR4 Spec'!#REF!)))</f>
        <v>25</v>
      </c>
      <c r="G93" s="60">
        <f>IF('DDR4 Config'!$H$1=1,'DDR4 Spec'!G18,IF('DDR4 Config'!$H$1=2,'DDR4 Spec'!R18,IF('DDR4 Config'!$H$1=3,'DDR4 Spec'!AC18,'DDR4 Spec'!#REF!)))</f>
        <v>25</v>
      </c>
      <c r="H93" s="60">
        <f>IF('DDR4 Config'!$H$1=1,'DDR4 Spec'!H18,IF('DDR4 Config'!$H$1=2,'DDR4 Spec'!S18,IF('DDR4 Config'!$H$1=3,'DDR4 Spec'!AD18,'DDR4 Spec'!#REF!)))</f>
        <v>25</v>
      </c>
      <c r="I93" s="60">
        <f>IF('DDR4 Config'!$H$1=1,'DDR4 Spec'!I18,IF('DDR4 Config'!$H$1=2,'DDR4 Spec'!T18,IF('DDR4 Config'!$H$1=3,'DDR4 Spec'!AE18,'DDR4 Spec'!#REF!)))</f>
        <v>25</v>
      </c>
      <c r="J93" s="60">
        <f>IF('DDR4 Config'!$H$1=1,'DDR4 Spec'!J18,IF('DDR4 Config'!$H$1=2,'DDR4 Spec'!U18,IF('DDR4 Config'!$H$1=3,'DDR4 Spec'!AF18,'DDR4 Spec'!#REF!)))</f>
        <v>25</v>
      </c>
      <c r="K93" s="60">
        <f>IF('DDR4 Config'!$H$1=1,'DDR4 Spec'!K18,IF('DDR4 Config'!$H$1=2,'DDR4 Spec'!V18,IF('DDR4 Config'!$H$1=3,'DDR4 Spec'!AG18,'DDR4 Spec'!#REF!)))</f>
        <v>25</v>
      </c>
      <c r="L93" s="60">
        <f>IF('DDR4 Config'!$H$1=1,'DDR4 Spec'!L18,IF('DDR4 Config'!$H$1=2,'DDR4 Spec'!W18,IF('DDR4 Config'!$H$1=3,'DDR4 Spec'!AH18,'DDR4 Spec'!#REF!)))</f>
        <v>25</v>
      </c>
      <c r="M93" s="60">
        <f>IF('DDR4 Config'!$H$1=1,'DDR4 Spec'!M18,IF('DDR4 Config'!$H$1=2,'DDR4 Spec'!X18,IF('DDR4 Config'!$H$1=3,'DDR4 Spec'!AI18,'DDR4 Spec'!#REF!)))</f>
        <v>25</v>
      </c>
      <c r="N93" s="60">
        <f>IF('DDR4 Config'!$H$1=1,'DDR4 Spec'!N18,IF('DDR4 Config'!$H$1=2,'DDR4 Spec'!Y18,IF('DDR4 Config'!$H$1=3,'DDR4 Spec'!AJ18,'DDR4 Spec'!#REF!)))</f>
        <v>25</v>
      </c>
      <c r="O93" s="322">
        <f>HLOOKUP($O$81,$E$81:$N$140,13)</f>
        <v>25</v>
      </c>
      <c r="P93" s="60"/>
      <c r="Q93" s="60"/>
      <c r="R93" s="60"/>
      <c r="S93" s="60"/>
      <c r="T93" s="60"/>
      <c r="U93" s="60"/>
      <c r="V93" s="60"/>
      <c r="W93" s="60"/>
      <c r="X93" s="60"/>
      <c r="Y93" s="60"/>
      <c r="Z93" s="60"/>
      <c r="AA93" s="60"/>
      <c r="AB93" s="60"/>
      <c r="AC93" s="60"/>
      <c r="AD93" s="60"/>
      <c r="AE93" s="60"/>
      <c r="AF93" s="60"/>
      <c r="AG93" s="60"/>
      <c r="AH93" s="60"/>
      <c r="AI93" s="60"/>
      <c r="AJ93" s="60"/>
      <c r="AK93" s="60"/>
      <c r="AL93" s="41"/>
    </row>
    <row r="94" spans="2:38" ht="18.75" hidden="1" customHeight="1">
      <c r="B94" s="62"/>
      <c r="C94" s="63">
        <f t="shared" si="28"/>
        <v>76</v>
      </c>
      <c r="D94" s="385"/>
      <c r="E94" s="60">
        <f>IF('DDR4 Config'!$H$1=1,'DDR4 Spec'!E19,IF('DDR4 Config'!$H$1=2,'DDR4 Spec'!P19,IF('DDR4 Config'!$H$1=3,'DDR4 Spec'!AA19,'DDR4 Spec'!#REF!)))</f>
        <v>25</v>
      </c>
      <c r="F94" s="60">
        <f>IF('DDR4 Config'!$H$1=1,'DDR4 Spec'!F19,IF('DDR4 Config'!$H$1=2,'DDR4 Spec'!Q19,IF('DDR4 Config'!$H$1=3,'DDR4 Spec'!AB19,'DDR4 Spec'!#REF!)))</f>
        <v>25</v>
      </c>
      <c r="G94" s="60">
        <f>IF('DDR4 Config'!$H$1=1,'DDR4 Spec'!G19,IF('DDR4 Config'!$H$1=2,'DDR4 Spec'!R19,IF('DDR4 Config'!$H$1=3,'DDR4 Spec'!AC19,'DDR4 Spec'!#REF!)))</f>
        <v>25</v>
      </c>
      <c r="H94" s="60">
        <f>IF('DDR4 Config'!$H$1=1,'DDR4 Spec'!H19,IF('DDR4 Config'!$H$1=2,'DDR4 Spec'!S19,IF('DDR4 Config'!$H$1=3,'DDR4 Spec'!AD19,'DDR4 Spec'!#REF!)))</f>
        <v>25</v>
      </c>
      <c r="I94" s="60">
        <f>IF('DDR4 Config'!$H$1=1,'DDR4 Spec'!I19,IF('DDR4 Config'!$H$1=2,'DDR4 Spec'!T19,IF('DDR4 Config'!$H$1=3,'DDR4 Spec'!AE19,'DDR4 Spec'!#REF!)))</f>
        <v>25</v>
      </c>
      <c r="J94" s="60">
        <f>IF('DDR4 Config'!$H$1=1,'DDR4 Spec'!J19,IF('DDR4 Config'!$H$1=2,'DDR4 Spec'!U19,IF('DDR4 Config'!$H$1=3,'DDR4 Spec'!AF19,'DDR4 Spec'!#REF!)))</f>
        <v>25</v>
      </c>
      <c r="K94" s="60">
        <f>IF('DDR4 Config'!$H$1=1,'DDR4 Spec'!K19,IF('DDR4 Config'!$H$1=2,'DDR4 Spec'!V19,IF('DDR4 Config'!$H$1=3,'DDR4 Spec'!AG19,'DDR4 Spec'!#REF!)))</f>
        <v>25</v>
      </c>
      <c r="L94" s="60">
        <f>IF('DDR4 Config'!$H$1=1,'DDR4 Spec'!L19,IF('DDR4 Config'!$H$1=2,'DDR4 Spec'!W19,IF('DDR4 Config'!$H$1=3,'DDR4 Spec'!AH19,'DDR4 Spec'!#REF!)))</f>
        <v>25</v>
      </c>
      <c r="M94" s="60">
        <f>IF('DDR4 Config'!$H$1=1,'DDR4 Spec'!M19,IF('DDR4 Config'!$H$1=2,'DDR4 Spec'!X19,IF('DDR4 Config'!$H$1=3,'DDR4 Spec'!AI19,'DDR4 Spec'!#REF!)))</f>
        <v>25</v>
      </c>
      <c r="N94" s="60">
        <f>IF('DDR4 Config'!$H$1=1,'DDR4 Spec'!N19,IF('DDR4 Config'!$H$1=2,'DDR4 Spec'!Y19,IF('DDR4 Config'!$H$1=3,'DDR4 Spec'!AJ19,'DDR4 Spec'!#REF!)))</f>
        <v>25</v>
      </c>
      <c r="O94" s="322">
        <f>HLOOKUP($O$81,$E$81:$N$140,14)</f>
        <v>25</v>
      </c>
      <c r="P94" s="60"/>
      <c r="Q94" s="60"/>
      <c r="R94" s="60"/>
      <c r="S94" s="60"/>
      <c r="T94" s="60"/>
      <c r="U94" s="60"/>
      <c r="V94" s="60"/>
      <c r="W94" s="60"/>
      <c r="X94" s="60"/>
      <c r="Y94" s="60"/>
      <c r="Z94" s="60"/>
      <c r="AA94" s="60"/>
      <c r="AB94" s="60"/>
      <c r="AC94" s="60"/>
      <c r="AD94" s="60"/>
      <c r="AE94" s="60"/>
      <c r="AF94" s="60"/>
      <c r="AG94" s="60"/>
      <c r="AH94" s="60"/>
      <c r="AI94" s="60"/>
      <c r="AJ94" s="60"/>
      <c r="AK94" s="60"/>
      <c r="AL94" s="41"/>
    </row>
    <row r="95" spans="2:38" ht="18.75" hidden="1" customHeight="1">
      <c r="B95" s="62"/>
      <c r="C95" s="63">
        <f t="shared" si="28"/>
        <v>77</v>
      </c>
      <c r="D95" s="386"/>
      <c r="E95" s="60">
        <f>IF('DDR4 Config'!$H$1=1,'DDR4 Spec'!E20,IF('DDR4 Config'!$H$1=2,'DDR4 Spec'!P20,IF('DDR4 Config'!$H$1=3,'DDR4 Spec'!AA20,'DDR4 Spec'!#REF!)))</f>
        <v>25</v>
      </c>
      <c r="F95" s="60">
        <f>IF('DDR4 Config'!$H$1=1,'DDR4 Spec'!F20,IF('DDR4 Config'!$H$1=2,'DDR4 Spec'!Q20,IF('DDR4 Config'!$H$1=3,'DDR4 Spec'!AB20,'DDR4 Spec'!#REF!)))</f>
        <v>25</v>
      </c>
      <c r="G95" s="60">
        <f>IF('DDR4 Config'!$H$1=1,'DDR4 Spec'!G20,IF('DDR4 Config'!$H$1=2,'DDR4 Spec'!R20,IF('DDR4 Config'!$H$1=3,'DDR4 Spec'!AC20,'DDR4 Spec'!#REF!)))</f>
        <v>25</v>
      </c>
      <c r="H95" s="60">
        <f>IF('DDR4 Config'!$H$1=1,'DDR4 Spec'!H20,IF('DDR4 Config'!$H$1=2,'DDR4 Spec'!S20,IF('DDR4 Config'!$H$1=3,'DDR4 Spec'!AD20,'DDR4 Spec'!#REF!)))</f>
        <v>25</v>
      </c>
      <c r="I95" s="60">
        <f>IF('DDR4 Config'!$H$1=1,'DDR4 Spec'!I20,IF('DDR4 Config'!$H$1=2,'DDR4 Spec'!T20,IF('DDR4 Config'!$H$1=3,'DDR4 Spec'!AE20,'DDR4 Spec'!#REF!)))</f>
        <v>25</v>
      </c>
      <c r="J95" s="60">
        <f>IF('DDR4 Config'!$H$1=1,'DDR4 Spec'!J20,IF('DDR4 Config'!$H$1=2,'DDR4 Spec'!U20,IF('DDR4 Config'!$H$1=3,'DDR4 Spec'!AF20,'DDR4 Spec'!#REF!)))</f>
        <v>25</v>
      </c>
      <c r="K95" s="60">
        <f>IF('DDR4 Config'!$H$1=1,'DDR4 Spec'!K20,IF('DDR4 Config'!$H$1=2,'DDR4 Spec'!V20,IF('DDR4 Config'!$H$1=3,'DDR4 Spec'!AG20,'DDR4 Spec'!#REF!)))</f>
        <v>25</v>
      </c>
      <c r="L95" s="60">
        <f>IF('DDR4 Config'!$H$1=1,'DDR4 Spec'!L20,IF('DDR4 Config'!$H$1=2,'DDR4 Spec'!W20,IF('DDR4 Config'!$H$1=3,'DDR4 Spec'!AH20,'DDR4 Spec'!#REF!)))</f>
        <v>25</v>
      </c>
      <c r="M95" s="60">
        <f>IF('DDR4 Config'!$H$1=1,'DDR4 Spec'!M20,IF('DDR4 Config'!$H$1=2,'DDR4 Spec'!X20,IF('DDR4 Config'!$H$1=3,'DDR4 Spec'!AI20,'DDR4 Spec'!#REF!)))</f>
        <v>25</v>
      </c>
      <c r="N95" s="60">
        <f>IF('DDR4 Config'!$H$1=1,'DDR4 Spec'!N20,IF('DDR4 Config'!$H$1=2,'DDR4 Spec'!Y20,IF('DDR4 Config'!$H$1=3,'DDR4 Spec'!AJ20,'DDR4 Spec'!#REF!)))</f>
        <v>25</v>
      </c>
      <c r="O95" s="322">
        <f>HLOOKUP($O$81,$E$81:$N$140,15)</f>
        <v>25</v>
      </c>
      <c r="P95" s="60"/>
      <c r="Q95" s="60"/>
      <c r="R95" s="60"/>
      <c r="S95" s="60"/>
      <c r="T95" s="60"/>
      <c r="U95" s="60"/>
      <c r="V95" s="60"/>
      <c r="W95" s="60"/>
      <c r="X95" s="60"/>
      <c r="Y95" s="60"/>
      <c r="Z95" s="60"/>
      <c r="AA95" s="60"/>
      <c r="AB95" s="60"/>
      <c r="AC95" s="60"/>
      <c r="AD95" s="60"/>
      <c r="AE95" s="60"/>
      <c r="AF95" s="60"/>
      <c r="AG95" s="60"/>
      <c r="AH95" s="60"/>
      <c r="AI95" s="60"/>
      <c r="AJ95" s="60"/>
      <c r="AK95" s="60"/>
      <c r="AL95" s="41"/>
    </row>
    <row r="96" spans="2:38" ht="18.75" hidden="1" customHeight="1">
      <c r="B96" s="62"/>
      <c r="C96" s="63">
        <f t="shared" si="28"/>
        <v>78</v>
      </c>
      <c r="D96" s="380" t="s">
        <v>173</v>
      </c>
      <c r="E96" s="60">
        <f>IF('DDR4 Config'!$H$1=1,'DDR4 Spec'!E21,IF('DDR4 Config'!$H$1=2,'DDR4 Spec'!P21,IF('DDR4 Config'!$H$1=3,'DDR4 Spec'!AA21,'DDR4 Spec'!#REF!)))</f>
        <v>33</v>
      </c>
      <c r="F96" s="60">
        <f>IF('DDR4 Config'!$H$1=1,'DDR4 Spec'!F21,IF('DDR4 Config'!$H$1=2,'DDR4 Spec'!Q21,IF('DDR4 Config'!$H$1=3,'DDR4 Spec'!AB21,'DDR4 Spec'!#REF!)))</f>
        <v>33</v>
      </c>
      <c r="G96" s="60">
        <f>IF('DDR4 Config'!$H$1=1,'DDR4 Spec'!G21,IF('DDR4 Config'!$H$1=2,'DDR4 Spec'!R21,IF('DDR4 Config'!$H$1=3,'DDR4 Spec'!AC21,'DDR4 Spec'!#REF!)))</f>
        <v>33</v>
      </c>
      <c r="H96" s="60">
        <f>IF('DDR4 Config'!$H$1=1,'DDR4 Spec'!H21,IF('DDR4 Config'!$H$1=2,'DDR4 Spec'!S21,IF('DDR4 Config'!$H$1=3,'DDR4 Spec'!AD21,'DDR4 Spec'!#REF!)))</f>
        <v>34</v>
      </c>
      <c r="I96" s="60">
        <f>IF('DDR4 Config'!$H$1=1,'DDR4 Spec'!I21,IF('DDR4 Config'!$H$1=2,'DDR4 Spec'!T21,IF('DDR4 Config'!$H$1=3,'DDR4 Spec'!AE21,'DDR4 Spec'!#REF!)))</f>
        <v>34</v>
      </c>
      <c r="J96" s="60">
        <f>IF('DDR4 Config'!$H$1=1,'DDR4 Spec'!J21,IF('DDR4 Config'!$H$1=2,'DDR4 Spec'!U21,IF('DDR4 Config'!$H$1=3,'DDR4 Spec'!AF21,'DDR4 Spec'!#REF!)))</f>
        <v>35</v>
      </c>
      <c r="K96" s="60">
        <f>IF('DDR4 Config'!$H$1=1,'DDR4 Spec'!K21,IF('DDR4 Config'!$H$1=2,'DDR4 Spec'!V21,IF('DDR4 Config'!$H$1=3,'DDR4 Spec'!AG21,'DDR4 Spec'!#REF!)))</f>
        <v>35</v>
      </c>
      <c r="L96" s="60">
        <f>IF('DDR4 Config'!$H$1=1,'DDR4 Spec'!L21,IF('DDR4 Config'!$H$1=2,'DDR4 Spec'!W21,IF('DDR4 Config'!$H$1=3,'DDR4 Spec'!AH21,'DDR4 Spec'!#REF!)))</f>
        <v>36</v>
      </c>
      <c r="M96" s="60">
        <f>IF('DDR4 Config'!$H$1=1,'DDR4 Spec'!M21,IF('DDR4 Config'!$H$1=2,'DDR4 Spec'!X21,IF('DDR4 Config'!$H$1=3,'DDR4 Spec'!AI21,'DDR4 Spec'!#REF!)))</f>
        <v>36</v>
      </c>
      <c r="N96" s="60">
        <f>IF('DDR4 Config'!$H$1=1,'DDR4 Spec'!N21,IF('DDR4 Config'!$H$1=2,'DDR4 Spec'!Y21,IF('DDR4 Config'!$H$1=3,'DDR4 Spec'!AJ21,'DDR4 Spec'!#REF!)))</f>
        <v>37</v>
      </c>
      <c r="O96" s="322">
        <f>HLOOKUP($O$81,$E$81:$N$140,16)</f>
        <v>35</v>
      </c>
      <c r="P96" s="60"/>
      <c r="Q96" s="60"/>
      <c r="R96" s="60"/>
      <c r="S96" s="60"/>
      <c r="T96" s="60"/>
      <c r="U96" s="60"/>
      <c r="V96" s="60"/>
      <c r="W96" s="60"/>
      <c r="X96" s="60"/>
      <c r="Y96" s="60"/>
      <c r="Z96" s="60"/>
      <c r="AA96" s="60"/>
      <c r="AB96" s="60"/>
      <c r="AC96" s="60"/>
      <c r="AD96" s="60"/>
      <c r="AE96" s="60"/>
      <c r="AF96" s="60"/>
      <c r="AG96" s="60"/>
      <c r="AH96" s="60"/>
      <c r="AI96" s="60"/>
      <c r="AJ96" s="60"/>
      <c r="AK96" s="60"/>
      <c r="AL96" s="41"/>
    </row>
    <row r="97" spans="2:38" ht="18.75" hidden="1" customHeight="1">
      <c r="B97" s="62"/>
      <c r="C97" s="63">
        <f t="shared" si="28"/>
        <v>79</v>
      </c>
      <c r="D97" s="381"/>
      <c r="E97" s="60">
        <f>IF('DDR4 Config'!$H$1=1,'DDR4 Spec'!E22,IF('DDR4 Config'!$H$1=2,'DDR4 Spec'!P22,IF('DDR4 Config'!$H$1=3,'DDR4 Spec'!AA22,'DDR4 Spec'!#REF!)))</f>
        <v>33</v>
      </c>
      <c r="F97" s="60">
        <f>IF('DDR4 Config'!$H$1=1,'DDR4 Spec'!F22,IF('DDR4 Config'!$H$1=2,'DDR4 Spec'!Q22,IF('DDR4 Config'!$H$1=3,'DDR4 Spec'!AB22,'DDR4 Spec'!#REF!)))</f>
        <v>33</v>
      </c>
      <c r="G97" s="60">
        <f>IF('DDR4 Config'!$H$1=1,'DDR4 Spec'!G22,IF('DDR4 Config'!$H$1=2,'DDR4 Spec'!R22,IF('DDR4 Config'!$H$1=3,'DDR4 Spec'!AC22,'DDR4 Spec'!#REF!)))</f>
        <v>33</v>
      </c>
      <c r="H97" s="60">
        <f>IF('DDR4 Config'!$H$1=1,'DDR4 Spec'!H22,IF('DDR4 Config'!$H$1=2,'DDR4 Spec'!S22,IF('DDR4 Config'!$H$1=3,'DDR4 Spec'!AD22,'DDR4 Spec'!#REF!)))</f>
        <v>34</v>
      </c>
      <c r="I97" s="60">
        <f>IF('DDR4 Config'!$H$1=1,'DDR4 Spec'!I22,IF('DDR4 Config'!$H$1=2,'DDR4 Spec'!T22,IF('DDR4 Config'!$H$1=3,'DDR4 Spec'!AE22,'DDR4 Spec'!#REF!)))</f>
        <v>34</v>
      </c>
      <c r="J97" s="60">
        <f>IF('DDR4 Config'!$H$1=1,'DDR4 Spec'!J22,IF('DDR4 Config'!$H$1=2,'DDR4 Spec'!U22,IF('DDR4 Config'!$H$1=3,'DDR4 Spec'!AF22,'DDR4 Spec'!#REF!)))</f>
        <v>35</v>
      </c>
      <c r="K97" s="60">
        <f>IF('DDR4 Config'!$H$1=1,'DDR4 Spec'!K22,IF('DDR4 Config'!$H$1=2,'DDR4 Spec'!V22,IF('DDR4 Config'!$H$1=3,'DDR4 Spec'!AG22,'DDR4 Spec'!#REF!)))</f>
        <v>35</v>
      </c>
      <c r="L97" s="60">
        <f>IF('DDR4 Config'!$H$1=1,'DDR4 Spec'!L22,IF('DDR4 Config'!$H$1=2,'DDR4 Spec'!W22,IF('DDR4 Config'!$H$1=3,'DDR4 Spec'!AH22,'DDR4 Spec'!#REF!)))</f>
        <v>36</v>
      </c>
      <c r="M97" s="60">
        <f>IF('DDR4 Config'!$H$1=1,'DDR4 Spec'!M22,IF('DDR4 Config'!$H$1=2,'DDR4 Spec'!X22,IF('DDR4 Config'!$H$1=3,'DDR4 Spec'!AI22,'DDR4 Spec'!#REF!)))</f>
        <v>36</v>
      </c>
      <c r="N97" s="60">
        <f>IF('DDR4 Config'!$H$1=1,'DDR4 Spec'!N22,IF('DDR4 Config'!$H$1=2,'DDR4 Spec'!Y22,IF('DDR4 Config'!$H$1=3,'DDR4 Spec'!AJ22,'DDR4 Spec'!#REF!)))</f>
        <v>37</v>
      </c>
      <c r="O97" s="322">
        <f>HLOOKUP($O$81,$E$81:$N$140,17)</f>
        <v>35</v>
      </c>
      <c r="P97" s="60"/>
      <c r="Q97" s="60"/>
      <c r="R97" s="60"/>
      <c r="S97" s="60"/>
      <c r="T97" s="60"/>
      <c r="U97" s="60"/>
      <c r="V97" s="60"/>
      <c r="W97" s="60"/>
      <c r="X97" s="60"/>
      <c r="Y97" s="60"/>
      <c r="Z97" s="60"/>
      <c r="AA97" s="60"/>
      <c r="AB97" s="60"/>
      <c r="AC97" s="60"/>
      <c r="AD97" s="60"/>
      <c r="AE97" s="60"/>
      <c r="AF97" s="60"/>
      <c r="AG97" s="60"/>
      <c r="AH97" s="60"/>
      <c r="AI97" s="60"/>
      <c r="AJ97" s="60"/>
      <c r="AK97" s="60"/>
      <c r="AL97" s="41"/>
    </row>
    <row r="98" spans="2:38" ht="18.75" hidden="1" customHeight="1">
      <c r="B98" s="62"/>
      <c r="C98" s="63">
        <f t="shared" si="28"/>
        <v>80</v>
      </c>
      <c r="D98" s="382"/>
      <c r="E98" s="60">
        <f>IF('DDR4 Config'!$H$1=1,'DDR4 Spec'!E23,IF('DDR4 Config'!$H$1=2,'DDR4 Spec'!P23,IF('DDR4 Config'!$H$1=3,'DDR4 Spec'!AA23,'DDR4 Spec'!#REF!)))</f>
        <v>33</v>
      </c>
      <c r="F98" s="60">
        <f>IF('DDR4 Config'!$H$1=1,'DDR4 Spec'!F23,IF('DDR4 Config'!$H$1=2,'DDR4 Spec'!Q23,IF('DDR4 Config'!$H$1=3,'DDR4 Spec'!AB23,'DDR4 Spec'!#REF!)))</f>
        <v>33</v>
      </c>
      <c r="G98" s="60">
        <f>IF('DDR4 Config'!$H$1=1,'DDR4 Spec'!G23,IF('DDR4 Config'!$H$1=2,'DDR4 Spec'!R23,IF('DDR4 Config'!$H$1=3,'DDR4 Spec'!AC23,'DDR4 Spec'!#REF!)))</f>
        <v>33</v>
      </c>
      <c r="H98" s="60">
        <f>IF('DDR4 Config'!$H$1=1,'DDR4 Spec'!H23,IF('DDR4 Config'!$H$1=2,'DDR4 Spec'!S23,IF('DDR4 Config'!$H$1=3,'DDR4 Spec'!AD23,'DDR4 Spec'!#REF!)))</f>
        <v>34</v>
      </c>
      <c r="I98" s="60">
        <f>IF('DDR4 Config'!$H$1=1,'DDR4 Spec'!I23,IF('DDR4 Config'!$H$1=2,'DDR4 Spec'!T23,IF('DDR4 Config'!$H$1=3,'DDR4 Spec'!AE23,'DDR4 Spec'!#REF!)))</f>
        <v>34</v>
      </c>
      <c r="J98" s="60">
        <f>IF('DDR4 Config'!$H$1=1,'DDR4 Spec'!J23,IF('DDR4 Config'!$H$1=2,'DDR4 Spec'!U23,IF('DDR4 Config'!$H$1=3,'DDR4 Spec'!AF23,'DDR4 Spec'!#REF!)))</f>
        <v>35</v>
      </c>
      <c r="K98" s="60">
        <f>IF('DDR4 Config'!$H$1=1,'DDR4 Spec'!K23,IF('DDR4 Config'!$H$1=2,'DDR4 Spec'!V23,IF('DDR4 Config'!$H$1=3,'DDR4 Spec'!AG23,'DDR4 Spec'!#REF!)))</f>
        <v>35</v>
      </c>
      <c r="L98" s="60">
        <f>IF('DDR4 Config'!$H$1=1,'DDR4 Spec'!L23,IF('DDR4 Config'!$H$1=2,'DDR4 Spec'!W23,IF('DDR4 Config'!$H$1=3,'DDR4 Spec'!AH23,'DDR4 Spec'!#REF!)))</f>
        <v>36</v>
      </c>
      <c r="M98" s="60">
        <f>IF('DDR4 Config'!$H$1=1,'DDR4 Spec'!M23,IF('DDR4 Config'!$H$1=2,'DDR4 Spec'!X23,IF('DDR4 Config'!$H$1=3,'DDR4 Spec'!AI23,'DDR4 Spec'!#REF!)))</f>
        <v>36</v>
      </c>
      <c r="N98" s="60">
        <f>IF('DDR4 Config'!$H$1=1,'DDR4 Spec'!N23,IF('DDR4 Config'!$H$1=2,'DDR4 Spec'!Y23,IF('DDR4 Config'!$H$1=3,'DDR4 Spec'!AJ23,'DDR4 Spec'!#REF!)))</f>
        <v>37</v>
      </c>
      <c r="O98" s="322">
        <f>HLOOKUP($O$81,$E$81:$N$140,18)</f>
        <v>35</v>
      </c>
      <c r="P98" s="60"/>
      <c r="Q98" s="60"/>
      <c r="R98" s="60"/>
      <c r="S98" s="60"/>
      <c r="T98" s="60"/>
      <c r="U98" s="60"/>
      <c r="V98" s="60"/>
      <c r="W98" s="60"/>
      <c r="X98" s="60"/>
      <c r="Y98" s="60"/>
      <c r="Z98" s="60"/>
      <c r="AA98" s="60"/>
      <c r="AB98" s="60"/>
      <c r="AC98" s="60"/>
      <c r="AD98" s="60"/>
      <c r="AE98" s="60"/>
      <c r="AF98" s="60"/>
      <c r="AG98" s="60"/>
      <c r="AH98" s="60"/>
      <c r="AI98" s="60"/>
      <c r="AJ98" s="60"/>
      <c r="AK98" s="60"/>
      <c r="AL98" s="41"/>
    </row>
    <row r="99" spans="2:38" ht="18.75" hidden="1" customHeight="1">
      <c r="B99" s="62"/>
      <c r="C99" s="63">
        <f t="shared" si="28"/>
        <v>81</v>
      </c>
      <c r="D99" s="373" t="s">
        <v>174</v>
      </c>
      <c r="E99" s="60">
        <f>IF('DDR4 Config'!$H$1=1,'DDR4 Spec'!E24,IF('DDR4 Config'!$H$1=2,'DDR4 Spec'!P24,IF('DDR4 Config'!$H$1=3,'DDR4 Spec'!AA24,'DDR4 Spec'!#REF!)))</f>
        <v>30</v>
      </c>
      <c r="F99" s="60">
        <f>IF('DDR4 Config'!$H$1=1,'DDR4 Spec'!F24,IF('DDR4 Config'!$H$1=2,'DDR4 Spec'!Q24,IF('DDR4 Config'!$H$1=3,'DDR4 Spec'!AB24,'DDR4 Spec'!#REF!)))</f>
        <v>30</v>
      </c>
      <c r="G99" s="60">
        <f>IF('DDR4 Config'!$H$1=1,'DDR4 Spec'!G24,IF('DDR4 Config'!$H$1=2,'DDR4 Spec'!R24,IF('DDR4 Config'!$H$1=3,'DDR4 Spec'!AC24,'DDR4 Spec'!#REF!)))</f>
        <v>30</v>
      </c>
      <c r="H99" s="60">
        <f>IF('DDR4 Config'!$H$1=1,'DDR4 Spec'!H24,IF('DDR4 Config'!$H$1=2,'DDR4 Spec'!S24,IF('DDR4 Config'!$H$1=3,'DDR4 Spec'!AD24,'DDR4 Spec'!#REF!)))</f>
        <v>32</v>
      </c>
      <c r="I99" s="60">
        <f>IF('DDR4 Config'!$H$1=1,'DDR4 Spec'!I24,IF('DDR4 Config'!$H$1=2,'DDR4 Spec'!T24,IF('DDR4 Config'!$H$1=3,'DDR4 Spec'!AE24,'DDR4 Spec'!#REF!)))</f>
        <v>32</v>
      </c>
      <c r="J99" s="60">
        <f>IF('DDR4 Config'!$H$1=1,'DDR4 Spec'!J24,IF('DDR4 Config'!$H$1=2,'DDR4 Spec'!U24,IF('DDR4 Config'!$H$1=3,'DDR4 Spec'!AF24,'DDR4 Spec'!#REF!)))</f>
        <v>34</v>
      </c>
      <c r="K99" s="60">
        <f>IF('DDR4 Config'!$H$1=1,'DDR4 Spec'!K24,IF('DDR4 Config'!$H$1=2,'DDR4 Spec'!V24,IF('DDR4 Config'!$H$1=3,'DDR4 Spec'!AG24,'DDR4 Spec'!#REF!)))</f>
        <v>34</v>
      </c>
      <c r="L99" s="60">
        <f>IF('DDR4 Config'!$H$1=1,'DDR4 Spec'!L24,IF('DDR4 Config'!$H$1=2,'DDR4 Spec'!W24,IF('DDR4 Config'!$H$1=3,'DDR4 Spec'!AH24,'DDR4 Spec'!#REF!)))</f>
        <v>36</v>
      </c>
      <c r="M99" s="60">
        <f>IF('DDR4 Config'!$H$1=1,'DDR4 Spec'!M24,IF('DDR4 Config'!$H$1=2,'DDR4 Spec'!X24,IF('DDR4 Config'!$H$1=3,'DDR4 Spec'!AI24,'DDR4 Spec'!#REF!)))</f>
        <v>36</v>
      </c>
      <c r="N99" s="60">
        <f>IF('DDR4 Config'!$H$1=1,'DDR4 Spec'!N24,IF('DDR4 Config'!$H$1=2,'DDR4 Spec'!Y24,IF('DDR4 Config'!$H$1=3,'DDR4 Spec'!AJ24,'DDR4 Spec'!#REF!)))</f>
        <v>38</v>
      </c>
      <c r="O99" s="322">
        <f>HLOOKUP($O$81,$E$81:$N$140,19)</f>
        <v>34</v>
      </c>
      <c r="P99" s="60"/>
      <c r="Q99" s="60"/>
      <c r="R99" s="60"/>
      <c r="S99" s="60"/>
      <c r="T99" s="60"/>
      <c r="U99" s="60"/>
      <c r="V99" s="60"/>
      <c r="W99" s="60"/>
      <c r="X99" s="60"/>
      <c r="Y99" s="60"/>
      <c r="Z99" s="60"/>
      <c r="AA99" s="60"/>
      <c r="AB99" s="60"/>
      <c r="AC99" s="60"/>
      <c r="AD99" s="60"/>
      <c r="AE99" s="60"/>
      <c r="AF99" s="60"/>
      <c r="AG99" s="60"/>
      <c r="AH99" s="60"/>
      <c r="AI99" s="60"/>
      <c r="AJ99" s="60"/>
      <c r="AK99" s="60"/>
      <c r="AL99" s="41"/>
    </row>
    <row r="100" spans="2:38" ht="18.75" hidden="1" customHeight="1">
      <c r="B100" s="62"/>
      <c r="C100" s="63">
        <f t="shared" si="28"/>
        <v>82</v>
      </c>
      <c r="D100" s="373"/>
      <c r="E100" s="60">
        <f>IF('DDR4 Config'!$H$1=1,'DDR4 Spec'!E25,IF('DDR4 Config'!$H$1=2,'DDR4 Spec'!P25,IF('DDR4 Config'!$H$1=3,'DDR4 Spec'!AA25,'DDR4 Spec'!#REF!)))</f>
        <v>35</v>
      </c>
      <c r="F100" s="60">
        <f>IF('DDR4 Config'!$H$1=1,'DDR4 Spec'!F25,IF('DDR4 Config'!$H$1=2,'DDR4 Spec'!Q25,IF('DDR4 Config'!$H$1=3,'DDR4 Spec'!AB25,'DDR4 Spec'!#REF!)))</f>
        <v>35</v>
      </c>
      <c r="G100" s="60">
        <f>IF('DDR4 Config'!$H$1=1,'DDR4 Spec'!G25,IF('DDR4 Config'!$H$1=2,'DDR4 Spec'!R25,IF('DDR4 Config'!$H$1=3,'DDR4 Spec'!AC25,'DDR4 Spec'!#REF!)))</f>
        <v>35</v>
      </c>
      <c r="H100" s="60">
        <f>IF('DDR4 Config'!$H$1=1,'DDR4 Spec'!H25,IF('DDR4 Config'!$H$1=2,'DDR4 Spec'!S25,IF('DDR4 Config'!$H$1=3,'DDR4 Spec'!AD25,'DDR4 Spec'!#REF!)))</f>
        <v>37</v>
      </c>
      <c r="I100" s="60">
        <f>IF('DDR4 Config'!$H$1=1,'DDR4 Spec'!I25,IF('DDR4 Config'!$H$1=2,'DDR4 Spec'!T25,IF('DDR4 Config'!$H$1=3,'DDR4 Spec'!AE25,'DDR4 Spec'!#REF!)))</f>
        <v>37</v>
      </c>
      <c r="J100" s="60">
        <f>IF('DDR4 Config'!$H$1=1,'DDR4 Spec'!J25,IF('DDR4 Config'!$H$1=2,'DDR4 Spec'!U25,IF('DDR4 Config'!$H$1=3,'DDR4 Spec'!AF25,'DDR4 Spec'!#REF!)))</f>
        <v>39</v>
      </c>
      <c r="K100" s="60">
        <f>IF('DDR4 Config'!$H$1=1,'DDR4 Spec'!K25,IF('DDR4 Config'!$H$1=2,'DDR4 Spec'!V25,IF('DDR4 Config'!$H$1=3,'DDR4 Spec'!AG25,'DDR4 Spec'!#REF!)))</f>
        <v>39</v>
      </c>
      <c r="L100" s="60">
        <f>IF('DDR4 Config'!$H$1=1,'DDR4 Spec'!L25,IF('DDR4 Config'!$H$1=2,'DDR4 Spec'!W25,IF('DDR4 Config'!$H$1=3,'DDR4 Spec'!AH25,'DDR4 Spec'!#REF!)))</f>
        <v>41</v>
      </c>
      <c r="M100" s="60">
        <f>IF('DDR4 Config'!$H$1=1,'DDR4 Spec'!M25,IF('DDR4 Config'!$H$1=2,'DDR4 Spec'!X25,IF('DDR4 Config'!$H$1=3,'DDR4 Spec'!AI25,'DDR4 Spec'!#REF!)))</f>
        <v>41</v>
      </c>
      <c r="N100" s="60">
        <f>IF('DDR4 Config'!$H$1=1,'DDR4 Spec'!N25,IF('DDR4 Config'!$H$1=2,'DDR4 Spec'!Y25,IF('DDR4 Config'!$H$1=3,'DDR4 Spec'!AJ25,'DDR4 Spec'!#REF!)))</f>
        <v>43</v>
      </c>
      <c r="O100" s="322">
        <f>HLOOKUP($O$81,$E$81:$N$140,20)</f>
        <v>39</v>
      </c>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41"/>
    </row>
    <row r="101" spans="2:38" ht="18.75" hidden="1" customHeight="1">
      <c r="B101" s="62"/>
      <c r="C101" s="63">
        <f t="shared" si="28"/>
        <v>83</v>
      </c>
      <c r="D101" s="373"/>
      <c r="E101" s="60">
        <f>IF('DDR4 Config'!$H$1=1,'DDR4 Spec'!E26,IF('DDR4 Config'!$H$1=2,'DDR4 Spec'!P26,IF('DDR4 Config'!$H$1=3,'DDR4 Spec'!AA26,'DDR4 Spec'!#REF!)))</f>
        <v>39</v>
      </c>
      <c r="F101" s="60">
        <f>IF('DDR4 Config'!$H$1=1,'DDR4 Spec'!F26,IF('DDR4 Config'!$H$1=2,'DDR4 Spec'!Q26,IF('DDR4 Config'!$H$1=3,'DDR4 Spec'!AB26,'DDR4 Spec'!#REF!)))</f>
        <v>39</v>
      </c>
      <c r="G101" s="60">
        <f>IF('DDR4 Config'!$H$1=1,'DDR4 Spec'!G26,IF('DDR4 Config'!$H$1=2,'DDR4 Spec'!R26,IF('DDR4 Config'!$H$1=3,'DDR4 Spec'!AC26,'DDR4 Spec'!#REF!)))</f>
        <v>39</v>
      </c>
      <c r="H101" s="60">
        <f>IF('DDR4 Config'!$H$1=1,'DDR4 Spec'!H26,IF('DDR4 Config'!$H$1=2,'DDR4 Spec'!S26,IF('DDR4 Config'!$H$1=3,'DDR4 Spec'!AD26,'DDR4 Spec'!#REF!)))</f>
        <v>41</v>
      </c>
      <c r="I101" s="60">
        <f>IF('DDR4 Config'!$H$1=1,'DDR4 Spec'!I26,IF('DDR4 Config'!$H$1=2,'DDR4 Spec'!T26,IF('DDR4 Config'!$H$1=3,'DDR4 Spec'!AE26,'DDR4 Spec'!#REF!)))</f>
        <v>41</v>
      </c>
      <c r="J101" s="60">
        <f>IF('DDR4 Config'!$H$1=1,'DDR4 Spec'!J26,IF('DDR4 Config'!$H$1=2,'DDR4 Spec'!U26,IF('DDR4 Config'!$H$1=3,'DDR4 Spec'!AF26,'DDR4 Spec'!#REF!)))</f>
        <v>43</v>
      </c>
      <c r="K101" s="60">
        <f>IF('DDR4 Config'!$H$1=1,'DDR4 Spec'!K26,IF('DDR4 Config'!$H$1=2,'DDR4 Spec'!V26,IF('DDR4 Config'!$H$1=3,'DDR4 Spec'!AG26,'DDR4 Spec'!#REF!)))</f>
        <v>43</v>
      </c>
      <c r="L101" s="60">
        <f>IF('DDR4 Config'!$H$1=1,'DDR4 Spec'!L26,IF('DDR4 Config'!$H$1=2,'DDR4 Spec'!W26,IF('DDR4 Config'!$H$1=3,'DDR4 Spec'!AH26,'DDR4 Spec'!#REF!)))</f>
        <v>45</v>
      </c>
      <c r="M101" s="60">
        <f>IF('DDR4 Config'!$H$1=1,'DDR4 Spec'!M26,IF('DDR4 Config'!$H$1=2,'DDR4 Spec'!X26,IF('DDR4 Config'!$H$1=3,'DDR4 Spec'!AI26,'DDR4 Spec'!#REF!)))</f>
        <v>45</v>
      </c>
      <c r="N101" s="60">
        <f>IF('DDR4 Config'!$H$1=1,'DDR4 Spec'!N26,IF('DDR4 Config'!$H$1=2,'DDR4 Spec'!Y26,IF('DDR4 Config'!$H$1=3,'DDR4 Spec'!AJ26,'DDR4 Spec'!#REF!)))</f>
        <v>47</v>
      </c>
      <c r="O101" s="322">
        <f>HLOOKUP($O$81,$E$81:$N$140,21)</f>
        <v>43</v>
      </c>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41"/>
    </row>
    <row r="102" spans="2:38" ht="18.75" hidden="1" customHeight="1">
      <c r="B102" s="62"/>
      <c r="C102" s="63">
        <f t="shared" si="28"/>
        <v>84</v>
      </c>
      <c r="D102" s="373" t="s">
        <v>175</v>
      </c>
      <c r="E102" s="60">
        <f>IF('DDR4 Config'!$H$1=1,'DDR4 Spec'!E27,IF('DDR4 Config'!$H$1=2,'DDR4 Spec'!P27,IF('DDR4 Config'!$H$1=3,'DDR4 Spec'!AA27,'DDR4 Spec'!#REF!)))</f>
        <v>35</v>
      </c>
      <c r="F102" s="60">
        <f>IF('DDR4 Config'!$H$1=1,'DDR4 Spec'!F27,IF('DDR4 Config'!$H$1=2,'DDR4 Spec'!Q27,IF('DDR4 Config'!$H$1=3,'DDR4 Spec'!AB27,'DDR4 Spec'!#REF!)))</f>
        <v>35</v>
      </c>
      <c r="G102" s="60">
        <f>IF('DDR4 Config'!$H$1=1,'DDR4 Spec'!G27,IF('DDR4 Config'!$H$1=2,'DDR4 Spec'!R27,IF('DDR4 Config'!$H$1=3,'DDR4 Spec'!AC27,'DDR4 Spec'!#REF!)))</f>
        <v>35</v>
      </c>
      <c r="H102" s="60">
        <f>IF('DDR4 Config'!$H$1=1,'DDR4 Spec'!H27,IF('DDR4 Config'!$H$1=2,'DDR4 Spec'!S27,IF('DDR4 Config'!$H$1=3,'DDR4 Spec'!AD27,'DDR4 Spec'!#REF!)))</f>
        <v>38</v>
      </c>
      <c r="I102" s="60">
        <f>IF('DDR4 Config'!$H$1=1,'DDR4 Spec'!I27,IF('DDR4 Config'!$H$1=2,'DDR4 Spec'!T27,IF('DDR4 Config'!$H$1=3,'DDR4 Spec'!AE27,'DDR4 Spec'!#REF!)))</f>
        <v>38</v>
      </c>
      <c r="J102" s="60">
        <f>IF('DDR4 Config'!$H$1=1,'DDR4 Spec'!J27,IF('DDR4 Config'!$H$1=2,'DDR4 Spec'!U27,IF('DDR4 Config'!$H$1=3,'DDR4 Spec'!AF27,'DDR4 Spec'!#REF!)))</f>
        <v>41</v>
      </c>
      <c r="K102" s="60">
        <f>IF('DDR4 Config'!$H$1=1,'DDR4 Spec'!K27,IF('DDR4 Config'!$H$1=2,'DDR4 Spec'!V27,IF('DDR4 Config'!$H$1=3,'DDR4 Spec'!AG27,'DDR4 Spec'!#REF!)))</f>
        <v>41</v>
      </c>
      <c r="L102" s="60">
        <f>IF('DDR4 Config'!$H$1=1,'DDR4 Spec'!L27,IF('DDR4 Config'!$H$1=2,'DDR4 Spec'!W27,IF('DDR4 Config'!$H$1=3,'DDR4 Spec'!AH27,'DDR4 Spec'!#REF!)))</f>
        <v>44</v>
      </c>
      <c r="M102" s="60">
        <f>IF('DDR4 Config'!$H$1=1,'DDR4 Spec'!M27,IF('DDR4 Config'!$H$1=2,'DDR4 Spec'!X27,IF('DDR4 Config'!$H$1=3,'DDR4 Spec'!AI27,'DDR4 Spec'!#REF!)))</f>
        <v>44</v>
      </c>
      <c r="N102" s="60">
        <f>IF('DDR4 Config'!$H$1=1,'DDR4 Spec'!N27,IF('DDR4 Config'!$H$1=2,'DDR4 Spec'!Y27,IF('DDR4 Config'!$H$1=3,'DDR4 Spec'!AJ27,'DDR4 Spec'!#REF!)))</f>
        <v>47</v>
      </c>
      <c r="O102" s="322">
        <f>HLOOKUP($O$81,$E$81:$N$140,22)</f>
        <v>41</v>
      </c>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41"/>
    </row>
    <row r="103" spans="2:38" ht="18.75" hidden="1" customHeight="1">
      <c r="B103" s="62"/>
      <c r="C103" s="63">
        <f t="shared" si="28"/>
        <v>85</v>
      </c>
      <c r="D103" s="373"/>
      <c r="E103" s="60">
        <f>IF('DDR4 Config'!$H$1=1,'DDR4 Spec'!E28,IF('DDR4 Config'!$H$1=2,'DDR4 Spec'!P28,IF('DDR4 Config'!$H$1=3,'DDR4 Spec'!AA28,'DDR4 Spec'!#REF!)))</f>
        <v>40</v>
      </c>
      <c r="F103" s="60">
        <f>IF('DDR4 Config'!$H$1=1,'DDR4 Spec'!F28,IF('DDR4 Config'!$H$1=2,'DDR4 Spec'!Q28,IF('DDR4 Config'!$H$1=3,'DDR4 Spec'!AB28,'DDR4 Spec'!#REF!)))</f>
        <v>40</v>
      </c>
      <c r="G103" s="60">
        <f>IF('DDR4 Config'!$H$1=1,'DDR4 Spec'!G28,IF('DDR4 Config'!$H$1=2,'DDR4 Spec'!R28,IF('DDR4 Config'!$H$1=3,'DDR4 Spec'!AC28,'DDR4 Spec'!#REF!)))</f>
        <v>40</v>
      </c>
      <c r="H103" s="60">
        <f>IF('DDR4 Config'!$H$1=1,'DDR4 Spec'!H28,IF('DDR4 Config'!$H$1=2,'DDR4 Spec'!S28,IF('DDR4 Config'!$H$1=3,'DDR4 Spec'!AD28,'DDR4 Spec'!#REF!)))</f>
        <v>43</v>
      </c>
      <c r="I103" s="60">
        <f>IF('DDR4 Config'!$H$1=1,'DDR4 Spec'!I28,IF('DDR4 Config'!$H$1=2,'DDR4 Spec'!T28,IF('DDR4 Config'!$H$1=3,'DDR4 Spec'!AE28,'DDR4 Spec'!#REF!)))</f>
        <v>43</v>
      </c>
      <c r="J103" s="60">
        <f>IF('DDR4 Config'!$H$1=1,'DDR4 Spec'!J28,IF('DDR4 Config'!$H$1=2,'DDR4 Spec'!U28,IF('DDR4 Config'!$H$1=3,'DDR4 Spec'!AF28,'DDR4 Spec'!#REF!)))</f>
        <v>46</v>
      </c>
      <c r="K103" s="60">
        <f>IF('DDR4 Config'!$H$1=1,'DDR4 Spec'!K28,IF('DDR4 Config'!$H$1=2,'DDR4 Spec'!V28,IF('DDR4 Config'!$H$1=3,'DDR4 Spec'!AG28,'DDR4 Spec'!#REF!)))</f>
        <v>46</v>
      </c>
      <c r="L103" s="60">
        <f>IF('DDR4 Config'!$H$1=1,'DDR4 Spec'!L28,IF('DDR4 Config'!$H$1=2,'DDR4 Spec'!W28,IF('DDR4 Config'!$H$1=3,'DDR4 Spec'!AH28,'DDR4 Spec'!#REF!)))</f>
        <v>49</v>
      </c>
      <c r="M103" s="60">
        <f>IF('DDR4 Config'!$H$1=1,'DDR4 Spec'!M28,IF('DDR4 Config'!$H$1=2,'DDR4 Spec'!X28,IF('DDR4 Config'!$H$1=3,'DDR4 Spec'!AI28,'DDR4 Spec'!#REF!)))</f>
        <v>49</v>
      </c>
      <c r="N103" s="60">
        <f>IF('DDR4 Config'!$H$1=1,'DDR4 Spec'!N28,IF('DDR4 Config'!$H$1=2,'DDR4 Spec'!Y28,IF('DDR4 Config'!$H$1=3,'DDR4 Spec'!AJ28,'DDR4 Spec'!#REF!)))</f>
        <v>52</v>
      </c>
      <c r="O103" s="322">
        <f>HLOOKUP($O$81,$E$81:$N$140,23)</f>
        <v>46</v>
      </c>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41"/>
    </row>
    <row r="104" spans="2:38" ht="18.75" hidden="1" customHeight="1">
      <c r="B104" s="62"/>
      <c r="C104" s="63">
        <f t="shared" si="28"/>
        <v>86</v>
      </c>
      <c r="D104" s="373"/>
      <c r="E104" s="60">
        <f>IF('DDR4 Config'!$H$1=1,'DDR4 Spec'!E29,IF('DDR4 Config'!$H$1=2,'DDR4 Spec'!P29,IF('DDR4 Config'!$H$1=3,'DDR4 Spec'!AA29,'DDR4 Spec'!#REF!)))</f>
        <v>44</v>
      </c>
      <c r="F104" s="60">
        <f>IF('DDR4 Config'!$H$1=1,'DDR4 Spec'!F29,IF('DDR4 Config'!$H$1=2,'DDR4 Spec'!Q29,IF('DDR4 Config'!$H$1=3,'DDR4 Spec'!AB29,'DDR4 Spec'!#REF!)))</f>
        <v>44</v>
      </c>
      <c r="G104" s="60">
        <f>IF('DDR4 Config'!$H$1=1,'DDR4 Spec'!G29,IF('DDR4 Config'!$H$1=2,'DDR4 Spec'!R29,IF('DDR4 Config'!$H$1=3,'DDR4 Spec'!AC29,'DDR4 Spec'!#REF!)))</f>
        <v>44</v>
      </c>
      <c r="H104" s="60">
        <f>IF('DDR4 Config'!$H$1=1,'DDR4 Spec'!H29,IF('DDR4 Config'!$H$1=2,'DDR4 Spec'!S29,IF('DDR4 Config'!$H$1=3,'DDR4 Spec'!AD29,'DDR4 Spec'!#REF!)))</f>
        <v>47</v>
      </c>
      <c r="I104" s="60">
        <f>IF('DDR4 Config'!$H$1=1,'DDR4 Spec'!I29,IF('DDR4 Config'!$H$1=2,'DDR4 Spec'!T29,IF('DDR4 Config'!$H$1=3,'DDR4 Spec'!AE29,'DDR4 Spec'!#REF!)))</f>
        <v>47</v>
      </c>
      <c r="J104" s="60">
        <f>IF('DDR4 Config'!$H$1=1,'DDR4 Spec'!J29,IF('DDR4 Config'!$H$1=2,'DDR4 Spec'!U29,IF('DDR4 Config'!$H$1=3,'DDR4 Spec'!AF29,'DDR4 Spec'!#REF!)))</f>
        <v>50</v>
      </c>
      <c r="K104" s="60">
        <f>IF('DDR4 Config'!$H$1=1,'DDR4 Spec'!K29,IF('DDR4 Config'!$H$1=2,'DDR4 Spec'!V29,IF('DDR4 Config'!$H$1=3,'DDR4 Spec'!AG29,'DDR4 Spec'!#REF!)))</f>
        <v>50</v>
      </c>
      <c r="L104" s="60">
        <f>IF('DDR4 Config'!$H$1=1,'DDR4 Spec'!L29,IF('DDR4 Config'!$H$1=2,'DDR4 Spec'!W29,IF('DDR4 Config'!$H$1=3,'DDR4 Spec'!AH29,'DDR4 Spec'!#REF!)))</f>
        <v>53</v>
      </c>
      <c r="M104" s="60">
        <f>IF('DDR4 Config'!$H$1=1,'DDR4 Spec'!M29,IF('DDR4 Config'!$H$1=2,'DDR4 Spec'!X29,IF('DDR4 Config'!$H$1=3,'DDR4 Spec'!AI29,'DDR4 Spec'!#REF!)))</f>
        <v>53</v>
      </c>
      <c r="N104" s="60">
        <f>IF('DDR4 Config'!$H$1=1,'DDR4 Spec'!N29,IF('DDR4 Config'!$H$1=2,'DDR4 Spec'!Y29,IF('DDR4 Config'!$H$1=3,'DDR4 Spec'!AJ29,'DDR4 Spec'!#REF!)))</f>
        <v>56</v>
      </c>
      <c r="O104" s="322">
        <f>HLOOKUP($O$81,$E$81:$N$140,24)</f>
        <v>50</v>
      </c>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41"/>
    </row>
    <row r="105" spans="2:38" ht="18.75" hidden="1" customHeight="1">
      <c r="B105" s="62"/>
      <c r="C105" s="63">
        <f t="shared" si="28"/>
        <v>87</v>
      </c>
      <c r="D105" s="373" t="s">
        <v>261</v>
      </c>
      <c r="E105" s="60">
        <f>IF('DDR4 Config'!$H$1=1,'DDR4 Spec'!E30,IF('DDR4 Config'!$H$1=2,'DDR4 Spec'!P30,IF('DDR4 Config'!$H$1=3,'DDR4 Spec'!AA30,'DDR4 Spec'!#REF!)))</f>
        <v>3</v>
      </c>
      <c r="F105" s="60">
        <f>IF('DDR4 Config'!$H$1=1,'DDR4 Spec'!F30,IF('DDR4 Config'!$H$1=2,'DDR4 Spec'!Q30,IF('DDR4 Config'!$H$1=3,'DDR4 Spec'!AB30,'DDR4 Spec'!#REF!)))</f>
        <v>3</v>
      </c>
      <c r="G105" s="60">
        <f>IF('DDR4 Config'!$H$1=1,'DDR4 Spec'!G30,IF('DDR4 Config'!$H$1=2,'DDR4 Spec'!R30,IF('DDR4 Config'!$H$1=3,'DDR4 Spec'!AC30,'DDR4 Spec'!#REF!)))</f>
        <v>3</v>
      </c>
      <c r="H105" s="60">
        <f>IF('DDR4 Config'!$H$1=1,'DDR4 Spec'!H30,IF('DDR4 Config'!$H$1=2,'DDR4 Spec'!S30,IF('DDR4 Config'!$H$1=3,'DDR4 Spec'!AD30,'DDR4 Spec'!#REF!)))</f>
        <v>3</v>
      </c>
      <c r="I105" s="60">
        <f>IF('DDR4 Config'!$H$1=1,'DDR4 Spec'!I30,IF('DDR4 Config'!$H$1=2,'DDR4 Spec'!T30,IF('DDR4 Config'!$H$1=3,'DDR4 Spec'!AE30,'DDR4 Spec'!#REF!)))</f>
        <v>3</v>
      </c>
      <c r="J105" s="60">
        <f>IF('DDR4 Config'!$H$1=1,'DDR4 Spec'!J30,IF('DDR4 Config'!$H$1=2,'DDR4 Spec'!U30,IF('DDR4 Config'!$H$1=3,'DDR4 Spec'!AF30,'DDR4 Spec'!#REF!)))</f>
        <v>3</v>
      </c>
      <c r="K105" s="60">
        <f>IF('DDR4 Config'!$H$1=1,'DDR4 Spec'!K30,IF('DDR4 Config'!$H$1=2,'DDR4 Spec'!V30,IF('DDR4 Config'!$H$1=3,'DDR4 Spec'!AG30,'DDR4 Spec'!#REF!)))</f>
        <v>3</v>
      </c>
      <c r="L105" s="60">
        <f>IF('DDR4 Config'!$H$1=1,'DDR4 Spec'!L30,IF('DDR4 Config'!$H$1=2,'DDR4 Spec'!W30,IF('DDR4 Config'!$H$1=3,'DDR4 Spec'!AH30,'DDR4 Spec'!#REF!)))</f>
        <v>3</v>
      </c>
      <c r="M105" s="60">
        <f>IF('DDR4 Config'!$H$1=1,'DDR4 Spec'!M30,IF('DDR4 Config'!$H$1=2,'DDR4 Spec'!X30,IF('DDR4 Config'!$H$1=3,'DDR4 Spec'!AI30,'DDR4 Spec'!#REF!)))</f>
        <v>3</v>
      </c>
      <c r="N105" s="60">
        <f>IF('DDR4 Config'!$H$1=1,'DDR4 Spec'!N30,IF('DDR4 Config'!$H$1=2,'DDR4 Spec'!Y30,IF('DDR4 Config'!$H$1=3,'DDR4 Spec'!AJ30,'DDR4 Spec'!#REF!)))</f>
        <v>3</v>
      </c>
      <c r="O105" s="322">
        <f>HLOOKUP($O$81,$E$81:$N$140,25)</f>
        <v>3</v>
      </c>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41"/>
    </row>
    <row r="106" spans="2:38" ht="18.75" hidden="1" customHeight="1">
      <c r="B106" s="62"/>
      <c r="C106" s="63">
        <f t="shared" si="28"/>
        <v>88</v>
      </c>
      <c r="D106" s="373"/>
      <c r="E106" s="60">
        <f>IF('DDR4 Config'!$H$1=1,'DDR4 Spec'!E31,IF('DDR4 Config'!$H$1=2,'DDR4 Spec'!P31,IF('DDR4 Config'!$H$1=3,'DDR4 Spec'!AA31,'DDR4 Spec'!#REF!)))</f>
        <v>3</v>
      </c>
      <c r="F106" s="60">
        <f>IF('DDR4 Config'!$H$1=1,'DDR4 Spec'!F31,IF('DDR4 Config'!$H$1=2,'DDR4 Spec'!Q31,IF('DDR4 Config'!$H$1=3,'DDR4 Spec'!AB31,'DDR4 Spec'!#REF!)))</f>
        <v>3</v>
      </c>
      <c r="G106" s="60">
        <f>IF('DDR4 Config'!$H$1=1,'DDR4 Spec'!G31,IF('DDR4 Config'!$H$1=2,'DDR4 Spec'!R31,IF('DDR4 Config'!$H$1=3,'DDR4 Spec'!AC31,'DDR4 Spec'!#REF!)))</f>
        <v>3</v>
      </c>
      <c r="H106" s="60">
        <f>IF('DDR4 Config'!$H$1=1,'DDR4 Spec'!H31,IF('DDR4 Config'!$H$1=2,'DDR4 Spec'!S31,IF('DDR4 Config'!$H$1=3,'DDR4 Spec'!AD31,'DDR4 Spec'!#REF!)))</f>
        <v>3</v>
      </c>
      <c r="I106" s="60">
        <f>IF('DDR4 Config'!$H$1=1,'DDR4 Spec'!I31,IF('DDR4 Config'!$H$1=2,'DDR4 Spec'!T31,IF('DDR4 Config'!$H$1=3,'DDR4 Spec'!AE31,'DDR4 Spec'!#REF!)))</f>
        <v>3</v>
      </c>
      <c r="J106" s="60">
        <f>IF('DDR4 Config'!$H$1=1,'DDR4 Spec'!J31,IF('DDR4 Config'!$H$1=2,'DDR4 Spec'!U31,IF('DDR4 Config'!$H$1=3,'DDR4 Spec'!AF31,'DDR4 Spec'!#REF!)))</f>
        <v>3</v>
      </c>
      <c r="K106" s="60">
        <f>IF('DDR4 Config'!$H$1=1,'DDR4 Spec'!K31,IF('DDR4 Config'!$H$1=2,'DDR4 Spec'!V31,IF('DDR4 Config'!$H$1=3,'DDR4 Spec'!AG31,'DDR4 Spec'!#REF!)))</f>
        <v>3</v>
      </c>
      <c r="L106" s="60">
        <f>IF('DDR4 Config'!$H$1=1,'DDR4 Spec'!L31,IF('DDR4 Config'!$H$1=2,'DDR4 Spec'!W31,IF('DDR4 Config'!$H$1=3,'DDR4 Spec'!AH31,'DDR4 Spec'!#REF!)))</f>
        <v>3</v>
      </c>
      <c r="M106" s="60">
        <f>IF('DDR4 Config'!$H$1=1,'DDR4 Spec'!M31,IF('DDR4 Config'!$H$1=2,'DDR4 Spec'!X31,IF('DDR4 Config'!$H$1=3,'DDR4 Spec'!AI31,'DDR4 Spec'!#REF!)))</f>
        <v>3</v>
      </c>
      <c r="N106" s="60">
        <f>IF('DDR4 Config'!$H$1=1,'DDR4 Spec'!N31,IF('DDR4 Config'!$H$1=2,'DDR4 Spec'!Y31,IF('DDR4 Config'!$H$1=3,'DDR4 Spec'!AJ31,'DDR4 Spec'!#REF!)))</f>
        <v>3</v>
      </c>
      <c r="O106" s="322">
        <f>HLOOKUP($O$81,$E$81:$N$140,26)</f>
        <v>3</v>
      </c>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41"/>
    </row>
    <row r="107" spans="2:38" ht="18.75" hidden="1" customHeight="1">
      <c r="B107" s="62"/>
      <c r="C107" s="63">
        <f t="shared" si="28"/>
        <v>89</v>
      </c>
      <c r="D107" s="373"/>
      <c r="E107" s="60">
        <f>IF('DDR4 Config'!$H$1=1,'DDR4 Spec'!E32,IF('DDR4 Config'!$H$1=2,'DDR4 Spec'!P32,IF('DDR4 Config'!$H$1=3,'DDR4 Spec'!AA32,'DDR4 Spec'!#REF!)))</f>
        <v>3</v>
      </c>
      <c r="F107" s="60">
        <f>IF('DDR4 Config'!$H$1=1,'DDR4 Spec'!F32,IF('DDR4 Config'!$H$1=2,'DDR4 Spec'!Q32,IF('DDR4 Config'!$H$1=3,'DDR4 Spec'!AB32,'DDR4 Spec'!#REF!)))</f>
        <v>3</v>
      </c>
      <c r="G107" s="60">
        <f>IF('DDR4 Config'!$H$1=1,'DDR4 Spec'!G32,IF('DDR4 Config'!$H$1=2,'DDR4 Spec'!R32,IF('DDR4 Config'!$H$1=3,'DDR4 Spec'!AC32,'DDR4 Spec'!#REF!)))</f>
        <v>3</v>
      </c>
      <c r="H107" s="60">
        <f>IF('DDR4 Config'!$H$1=1,'DDR4 Spec'!H32,IF('DDR4 Config'!$H$1=2,'DDR4 Spec'!S32,IF('DDR4 Config'!$H$1=3,'DDR4 Spec'!AD32,'DDR4 Spec'!#REF!)))</f>
        <v>3</v>
      </c>
      <c r="I107" s="60">
        <f>IF('DDR4 Config'!$H$1=1,'DDR4 Spec'!I32,IF('DDR4 Config'!$H$1=2,'DDR4 Spec'!T32,IF('DDR4 Config'!$H$1=3,'DDR4 Spec'!AE32,'DDR4 Spec'!#REF!)))</f>
        <v>3</v>
      </c>
      <c r="J107" s="60">
        <f>IF('DDR4 Config'!$H$1=1,'DDR4 Spec'!J32,IF('DDR4 Config'!$H$1=2,'DDR4 Spec'!U32,IF('DDR4 Config'!$H$1=3,'DDR4 Spec'!AF32,'DDR4 Spec'!#REF!)))</f>
        <v>3</v>
      </c>
      <c r="K107" s="60">
        <f>IF('DDR4 Config'!$H$1=1,'DDR4 Spec'!K32,IF('DDR4 Config'!$H$1=2,'DDR4 Spec'!V32,IF('DDR4 Config'!$H$1=3,'DDR4 Spec'!AG32,'DDR4 Spec'!#REF!)))</f>
        <v>3</v>
      </c>
      <c r="L107" s="60">
        <f>IF('DDR4 Config'!$H$1=1,'DDR4 Spec'!L32,IF('DDR4 Config'!$H$1=2,'DDR4 Spec'!W32,IF('DDR4 Config'!$H$1=3,'DDR4 Spec'!AH32,'DDR4 Spec'!#REF!)))</f>
        <v>3</v>
      </c>
      <c r="M107" s="60">
        <f>IF('DDR4 Config'!$H$1=1,'DDR4 Spec'!M32,IF('DDR4 Config'!$H$1=2,'DDR4 Spec'!X32,IF('DDR4 Config'!$H$1=3,'DDR4 Spec'!AI32,'DDR4 Spec'!#REF!)))</f>
        <v>3</v>
      </c>
      <c r="N107" s="60">
        <f>IF('DDR4 Config'!$H$1=1,'DDR4 Spec'!N32,IF('DDR4 Config'!$H$1=2,'DDR4 Spec'!Y32,IF('DDR4 Config'!$H$1=3,'DDR4 Spec'!AJ32,'DDR4 Spec'!#REF!)))</f>
        <v>3</v>
      </c>
      <c r="O107" s="322">
        <f>HLOOKUP($O$81,$E$81:$N$140,27)</f>
        <v>3</v>
      </c>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41"/>
    </row>
    <row r="108" spans="2:38" ht="18.75" hidden="1" customHeight="1">
      <c r="B108" s="62"/>
      <c r="C108" s="63">
        <f t="shared" si="28"/>
        <v>90</v>
      </c>
      <c r="D108" s="373" t="s">
        <v>176</v>
      </c>
      <c r="E108" s="60">
        <f>IF('DDR4 Config'!$H$1=1,'DDR4 Spec'!E33,IF('DDR4 Config'!$H$1=2,'DDR4 Spec'!P33,IF('DDR4 Config'!$H$1=3,'DDR4 Spec'!AA33,'DDR4 Spec'!#REF!)))</f>
        <v>100</v>
      </c>
      <c r="F108" s="60">
        <f>IF('DDR4 Config'!$H$1=1,'DDR4 Spec'!F33,IF('DDR4 Config'!$H$1=2,'DDR4 Spec'!Q33,IF('DDR4 Config'!$H$1=3,'DDR4 Spec'!AB33,'DDR4 Spec'!#REF!)))</f>
        <v>100</v>
      </c>
      <c r="G108" s="60">
        <f>IF('DDR4 Config'!$H$1=1,'DDR4 Spec'!G33,IF('DDR4 Config'!$H$1=2,'DDR4 Spec'!R33,IF('DDR4 Config'!$H$1=3,'DDR4 Spec'!AC33,'DDR4 Spec'!#REF!)))</f>
        <v>100</v>
      </c>
      <c r="H108" s="60">
        <f>IF('DDR4 Config'!$H$1=1,'DDR4 Spec'!H33,IF('DDR4 Config'!$H$1=2,'DDR4 Spec'!S33,IF('DDR4 Config'!$H$1=3,'DDR4 Spec'!AD33,'DDR4 Spec'!#REF!)))</f>
        <v>110</v>
      </c>
      <c r="I108" s="60">
        <f>IF('DDR4 Config'!$H$1=1,'DDR4 Spec'!I33,IF('DDR4 Config'!$H$1=2,'DDR4 Spec'!T33,IF('DDR4 Config'!$H$1=3,'DDR4 Spec'!AE33,'DDR4 Spec'!#REF!)))</f>
        <v>110</v>
      </c>
      <c r="J108" s="60">
        <f>IF('DDR4 Config'!$H$1=1,'DDR4 Spec'!J33,IF('DDR4 Config'!$H$1=2,'DDR4 Spec'!U33,IF('DDR4 Config'!$H$1=3,'DDR4 Spec'!AF33,'DDR4 Spec'!#REF!)))</f>
        <v>121</v>
      </c>
      <c r="K108" s="60">
        <f>IF('DDR4 Config'!$H$1=1,'DDR4 Spec'!K33,IF('DDR4 Config'!$H$1=2,'DDR4 Spec'!V33,IF('DDR4 Config'!$H$1=3,'DDR4 Spec'!AG33,'DDR4 Spec'!#REF!)))</f>
        <v>121</v>
      </c>
      <c r="L108" s="60">
        <f>IF('DDR4 Config'!$H$1=1,'DDR4 Spec'!L33,IF('DDR4 Config'!$H$1=2,'DDR4 Spec'!W33,IF('DDR4 Config'!$H$1=3,'DDR4 Spec'!AH33,'DDR4 Spec'!#REF!)))</f>
        <v>132</v>
      </c>
      <c r="M108" s="60">
        <f>IF('DDR4 Config'!$H$1=1,'DDR4 Spec'!M33,IF('DDR4 Config'!$H$1=2,'DDR4 Spec'!X33,IF('DDR4 Config'!$H$1=3,'DDR4 Spec'!AI33,'DDR4 Spec'!#REF!)))</f>
        <v>132</v>
      </c>
      <c r="N108" s="60">
        <f>IF('DDR4 Config'!$H$1=1,'DDR4 Spec'!N33,IF('DDR4 Config'!$H$1=2,'DDR4 Spec'!Y33,IF('DDR4 Config'!$H$1=3,'DDR4 Spec'!AJ33,'DDR4 Spec'!#REF!)))</f>
        <v>143</v>
      </c>
      <c r="O108" s="322">
        <f>HLOOKUP($O$81,$E$81:$N$140,28)</f>
        <v>121</v>
      </c>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41"/>
    </row>
    <row r="109" spans="2:38" ht="18.75" hidden="1" customHeight="1">
      <c r="B109" s="62"/>
      <c r="C109" s="63">
        <f t="shared" si="28"/>
        <v>91</v>
      </c>
      <c r="D109" s="373"/>
      <c r="E109" s="60">
        <f>IF('DDR4 Config'!$H$1=1,'DDR4 Spec'!E34,IF('DDR4 Config'!$H$1=2,'DDR4 Spec'!P34,IF('DDR4 Config'!$H$1=3,'DDR4 Spec'!AA34,'DDR4 Spec'!#REF!)))</f>
        <v>125</v>
      </c>
      <c r="F109" s="60">
        <f>IF('DDR4 Config'!$H$1=1,'DDR4 Spec'!F34,IF('DDR4 Config'!$H$1=2,'DDR4 Spec'!Q34,IF('DDR4 Config'!$H$1=3,'DDR4 Spec'!AB34,'DDR4 Spec'!#REF!)))</f>
        <v>125</v>
      </c>
      <c r="G109" s="60">
        <f>IF('DDR4 Config'!$H$1=1,'DDR4 Spec'!G34,IF('DDR4 Config'!$H$1=2,'DDR4 Spec'!R34,IF('DDR4 Config'!$H$1=3,'DDR4 Spec'!AC34,'DDR4 Spec'!#REF!)))</f>
        <v>125</v>
      </c>
      <c r="H109" s="60">
        <f>IF('DDR4 Config'!$H$1=1,'DDR4 Spec'!H34,IF('DDR4 Config'!$H$1=2,'DDR4 Spec'!S34,IF('DDR4 Config'!$H$1=3,'DDR4 Spec'!AD34,'DDR4 Spec'!#REF!)))</f>
        <v>135</v>
      </c>
      <c r="I109" s="60">
        <f>IF('DDR4 Config'!$H$1=1,'DDR4 Spec'!I34,IF('DDR4 Config'!$H$1=2,'DDR4 Spec'!T34,IF('DDR4 Config'!$H$1=3,'DDR4 Spec'!AE34,'DDR4 Spec'!#REF!)))</f>
        <v>135</v>
      </c>
      <c r="J109" s="60">
        <f>IF('DDR4 Config'!$H$1=1,'DDR4 Spec'!J34,IF('DDR4 Config'!$H$1=2,'DDR4 Spec'!U34,IF('DDR4 Config'!$H$1=3,'DDR4 Spec'!AF34,'DDR4 Spec'!#REF!)))</f>
        <v>146</v>
      </c>
      <c r="K109" s="60">
        <f>IF('DDR4 Config'!$H$1=1,'DDR4 Spec'!K34,IF('DDR4 Config'!$H$1=2,'DDR4 Spec'!V34,IF('DDR4 Config'!$H$1=3,'DDR4 Spec'!AG34,'DDR4 Spec'!#REF!)))</f>
        <v>146</v>
      </c>
      <c r="L109" s="60">
        <f>IF('DDR4 Config'!$H$1=1,'DDR4 Spec'!L34,IF('DDR4 Config'!$H$1=2,'DDR4 Spec'!W34,IF('DDR4 Config'!$H$1=3,'DDR4 Spec'!AH34,'DDR4 Spec'!#REF!)))</f>
        <v>157</v>
      </c>
      <c r="M109" s="60">
        <f>IF('DDR4 Config'!$H$1=1,'DDR4 Spec'!M34,IF('DDR4 Config'!$H$1=2,'DDR4 Spec'!X34,IF('DDR4 Config'!$H$1=3,'DDR4 Spec'!AI34,'DDR4 Spec'!#REF!)))</f>
        <v>157</v>
      </c>
      <c r="N109" s="60">
        <f>IF('DDR4 Config'!$H$1=1,'DDR4 Spec'!N34,IF('DDR4 Config'!$H$1=2,'DDR4 Spec'!Y34,IF('DDR4 Config'!$H$1=3,'DDR4 Spec'!AJ34,'DDR4 Spec'!#REF!)))</f>
        <v>168</v>
      </c>
      <c r="O109" s="322">
        <f>HLOOKUP($O$81,$E$81:$N$140,29)</f>
        <v>146</v>
      </c>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41"/>
    </row>
    <row r="110" spans="2:38" ht="18.75" hidden="1" customHeight="1">
      <c r="B110" s="62"/>
      <c r="C110" s="63">
        <f t="shared" si="28"/>
        <v>92</v>
      </c>
      <c r="D110" s="373"/>
      <c r="E110" s="60">
        <f>IF('DDR4 Config'!$H$1=1,'DDR4 Spec'!E35,IF('DDR4 Config'!$H$1=2,'DDR4 Spec'!P35,IF('DDR4 Config'!$H$1=3,'DDR4 Spec'!AA35,'DDR4 Spec'!#REF!)))</f>
        <v>225</v>
      </c>
      <c r="F110" s="60">
        <f>IF('DDR4 Config'!$H$1=1,'DDR4 Spec'!F35,IF('DDR4 Config'!$H$1=2,'DDR4 Spec'!Q35,IF('DDR4 Config'!$H$1=3,'DDR4 Spec'!AB35,'DDR4 Spec'!#REF!)))</f>
        <v>225</v>
      </c>
      <c r="G110" s="60">
        <f>IF('DDR4 Config'!$H$1=1,'DDR4 Spec'!G35,IF('DDR4 Config'!$H$1=2,'DDR4 Spec'!R35,IF('DDR4 Config'!$H$1=3,'DDR4 Spec'!AC35,'DDR4 Spec'!#REF!)))</f>
        <v>225</v>
      </c>
      <c r="H110" s="60">
        <f>IF('DDR4 Config'!$H$1=1,'DDR4 Spec'!H35,IF('DDR4 Config'!$H$1=2,'DDR4 Spec'!S35,IF('DDR4 Config'!$H$1=3,'DDR4 Spec'!AD35,'DDR4 Spec'!#REF!)))</f>
        <v>243</v>
      </c>
      <c r="I110" s="60">
        <f>IF('DDR4 Config'!$H$1=1,'DDR4 Spec'!I35,IF('DDR4 Config'!$H$1=2,'DDR4 Spec'!T35,IF('DDR4 Config'!$H$1=3,'DDR4 Spec'!AE35,'DDR4 Spec'!#REF!)))</f>
        <v>243</v>
      </c>
      <c r="J110" s="60">
        <f>IF('DDR4 Config'!$H$1=1,'DDR4 Spec'!J35,IF('DDR4 Config'!$H$1=2,'DDR4 Spec'!U35,IF('DDR4 Config'!$H$1=3,'DDR4 Spec'!AF35,'DDR4 Spec'!#REF!)))</f>
        <v>263</v>
      </c>
      <c r="K110" s="60">
        <f>IF('DDR4 Config'!$H$1=1,'DDR4 Spec'!K35,IF('DDR4 Config'!$H$1=2,'DDR4 Spec'!V35,IF('DDR4 Config'!$H$1=3,'DDR4 Spec'!AG35,'DDR4 Spec'!#REF!)))</f>
        <v>263</v>
      </c>
      <c r="L110" s="60">
        <f>IF('DDR4 Config'!$H$1=1,'DDR4 Spec'!L35,IF('DDR4 Config'!$H$1=2,'DDR4 Spec'!W35,IF('DDR4 Config'!$H$1=3,'DDR4 Spec'!AH35,'DDR4 Spec'!#REF!)))</f>
        <v>283</v>
      </c>
      <c r="M110" s="60">
        <f>IF('DDR4 Config'!$H$1=1,'DDR4 Spec'!M35,IF('DDR4 Config'!$H$1=2,'DDR4 Spec'!X35,IF('DDR4 Config'!$H$1=3,'DDR4 Spec'!AI35,'DDR4 Spec'!#REF!)))</f>
        <v>283</v>
      </c>
      <c r="N110" s="60">
        <f>IF('DDR4 Config'!$H$1=1,'DDR4 Spec'!N35,IF('DDR4 Config'!$H$1=2,'DDR4 Spec'!Y35,IF('DDR4 Config'!$H$1=3,'DDR4 Spec'!AJ35,'DDR4 Spec'!#REF!)))</f>
        <v>302</v>
      </c>
      <c r="O110" s="322">
        <f>HLOOKUP($O$81,$E$81:$N$140,30)</f>
        <v>263</v>
      </c>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41"/>
    </row>
    <row r="111" spans="2:38" ht="18.75" hidden="1" customHeight="1">
      <c r="B111" s="62"/>
      <c r="C111" s="63">
        <f t="shared" ref="C111:C113" si="29">C110+1</f>
        <v>93</v>
      </c>
      <c r="D111" s="373" t="s">
        <v>389</v>
      </c>
      <c r="E111" s="60">
        <f>IF('DDR4 Config'!$H$1=1,'DDR4 Spec'!E36,IF('DDR4 Config'!$H$1=2,'DDR4 Spec'!P36,IF('DDR4 Config'!$H$1=3,'DDR4 Spec'!AA36,'DDR4 Spec'!#REF!)))</f>
        <v>3</v>
      </c>
      <c r="F111" s="60">
        <f>IF('DDR4 Config'!$H$1=1,'DDR4 Spec'!F36,IF('DDR4 Config'!$H$1=2,'DDR4 Spec'!Q36,IF('DDR4 Config'!$H$1=3,'DDR4 Spec'!AB36,'DDR4 Spec'!#REF!)))</f>
        <v>3</v>
      </c>
      <c r="G111" s="60">
        <f>IF('DDR4 Config'!$H$1=1,'DDR4 Spec'!G36,IF('DDR4 Config'!$H$1=2,'DDR4 Spec'!R36,IF('DDR4 Config'!$H$1=3,'DDR4 Spec'!AC36,'DDR4 Spec'!#REF!)))</f>
        <v>3</v>
      </c>
      <c r="H111" s="60">
        <f>IF('DDR4 Config'!$H$1=1,'DDR4 Spec'!H36,IF('DDR4 Config'!$H$1=2,'DDR4 Spec'!S36,IF('DDR4 Config'!$H$1=3,'DDR4 Spec'!AD36,'DDR4 Spec'!#REF!)))</f>
        <v>3</v>
      </c>
      <c r="I111" s="60">
        <f>IF('DDR4 Config'!$H$1=1,'DDR4 Spec'!I36,IF('DDR4 Config'!$H$1=2,'DDR4 Spec'!T36,IF('DDR4 Config'!$H$1=3,'DDR4 Spec'!AE36,'DDR4 Spec'!#REF!)))</f>
        <v>3</v>
      </c>
      <c r="J111" s="60">
        <f>IF('DDR4 Config'!$H$1=1,'DDR4 Spec'!J36,IF('DDR4 Config'!$H$1=2,'DDR4 Spec'!U36,IF('DDR4 Config'!$H$1=3,'DDR4 Spec'!AF36,'DDR4 Spec'!#REF!)))</f>
        <v>3</v>
      </c>
      <c r="K111" s="60">
        <f>IF('DDR4 Config'!$H$1=1,'DDR4 Spec'!K36,IF('DDR4 Config'!$H$1=2,'DDR4 Spec'!V36,IF('DDR4 Config'!$H$1=3,'DDR4 Spec'!AG36,'DDR4 Spec'!#REF!)))</f>
        <v>3</v>
      </c>
      <c r="L111" s="60">
        <f>IF('DDR4 Config'!$H$1=1,'DDR4 Spec'!L36,IF('DDR4 Config'!$H$1=2,'DDR4 Spec'!W36,IF('DDR4 Config'!$H$1=3,'DDR4 Spec'!AH36,'DDR4 Spec'!#REF!)))</f>
        <v>3</v>
      </c>
      <c r="M111" s="60">
        <f>IF('DDR4 Config'!$H$1=1,'DDR4 Spec'!M36,IF('DDR4 Config'!$H$1=2,'DDR4 Spec'!X36,IF('DDR4 Config'!$H$1=3,'DDR4 Spec'!AI36,'DDR4 Spec'!#REF!)))</f>
        <v>3</v>
      </c>
      <c r="N111" s="60">
        <f>IF('DDR4 Config'!$H$1=1,'DDR4 Spec'!N36,IF('DDR4 Config'!$H$1=2,'DDR4 Spec'!Y36,IF('DDR4 Config'!$H$1=3,'DDR4 Spec'!AJ36,'DDR4 Spec'!#REF!)))</f>
        <v>3</v>
      </c>
      <c r="O111" s="322">
        <f>HLOOKUP($O$81,$E$81:$N$140,31)</f>
        <v>3</v>
      </c>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41"/>
    </row>
    <row r="112" spans="2:38" ht="18.75" hidden="1" customHeight="1">
      <c r="B112" s="62"/>
      <c r="C112" s="63">
        <f t="shared" si="29"/>
        <v>94</v>
      </c>
      <c r="D112" s="373"/>
      <c r="E112" s="60">
        <f>IF('DDR4 Config'!$H$1=1,'DDR4 Spec'!E37,IF('DDR4 Config'!$H$1=2,'DDR4 Spec'!P37,IF('DDR4 Config'!$H$1=3,'DDR4 Spec'!AA37,'DDR4 Spec'!#REF!)))</f>
        <v>3</v>
      </c>
      <c r="F112" s="60">
        <f>IF('DDR4 Config'!$H$1=1,'DDR4 Spec'!F37,IF('DDR4 Config'!$H$1=2,'DDR4 Spec'!Q37,IF('DDR4 Config'!$H$1=3,'DDR4 Spec'!AB37,'DDR4 Spec'!#REF!)))</f>
        <v>3</v>
      </c>
      <c r="G112" s="60">
        <f>IF('DDR4 Config'!$H$1=1,'DDR4 Spec'!G37,IF('DDR4 Config'!$H$1=2,'DDR4 Spec'!R37,IF('DDR4 Config'!$H$1=3,'DDR4 Spec'!AC37,'DDR4 Spec'!#REF!)))</f>
        <v>3</v>
      </c>
      <c r="H112" s="60">
        <f>IF('DDR4 Config'!$H$1=1,'DDR4 Spec'!H37,IF('DDR4 Config'!$H$1=2,'DDR4 Spec'!S37,IF('DDR4 Config'!$H$1=3,'DDR4 Spec'!AD37,'DDR4 Spec'!#REF!)))</f>
        <v>3</v>
      </c>
      <c r="I112" s="60">
        <f>IF('DDR4 Config'!$H$1=1,'DDR4 Spec'!I37,IF('DDR4 Config'!$H$1=2,'DDR4 Spec'!T37,IF('DDR4 Config'!$H$1=3,'DDR4 Spec'!AE37,'DDR4 Spec'!#REF!)))</f>
        <v>3</v>
      </c>
      <c r="J112" s="60">
        <f>IF('DDR4 Config'!$H$1=1,'DDR4 Spec'!J37,IF('DDR4 Config'!$H$1=2,'DDR4 Spec'!U37,IF('DDR4 Config'!$H$1=3,'DDR4 Spec'!AF37,'DDR4 Spec'!#REF!)))</f>
        <v>3</v>
      </c>
      <c r="K112" s="60">
        <f>IF('DDR4 Config'!$H$1=1,'DDR4 Spec'!K37,IF('DDR4 Config'!$H$1=2,'DDR4 Spec'!V37,IF('DDR4 Config'!$H$1=3,'DDR4 Spec'!AG37,'DDR4 Spec'!#REF!)))</f>
        <v>3</v>
      </c>
      <c r="L112" s="60">
        <f>IF('DDR4 Config'!$H$1=1,'DDR4 Spec'!L37,IF('DDR4 Config'!$H$1=2,'DDR4 Spec'!W37,IF('DDR4 Config'!$H$1=3,'DDR4 Spec'!AH37,'DDR4 Spec'!#REF!)))</f>
        <v>3</v>
      </c>
      <c r="M112" s="60">
        <f>IF('DDR4 Config'!$H$1=1,'DDR4 Spec'!M37,IF('DDR4 Config'!$H$1=2,'DDR4 Spec'!X37,IF('DDR4 Config'!$H$1=3,'DDR4 Spec'!AI37,'DDR4 Spec'!#REF!)))</f>
        <v>3</v>
      </c>
      <c r="N112" s="60">
        <f>IF('DDR4 Config'!$H$1=1,'DDR4 Spec'!N37,IF('DDR4 Config'!$H$1=2,'DDR4 Spec'!Y37,IF('DDR4 Config'!$H$1=3,'DDR4 Spec'!AJ37,'DDR4 Spec'!#REF!)))</f>
        <v>3</v>
      </c>
      <c r="O112" s="322">
        <f>HLOOKUP($O$81,$E$81:$N$140,32)</f>
        <v>3</v>
      </c>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41"/>
    </row>
    <row r="113" spans="2:38" ht="18.75" hidden="1" customHeight="1">
      <c r="B113" s="62"/>
      <c r="C113" s="63">
        <f t="shared" si="29"/>
        <v>95</v>
      </c>
      <c r="D113" s="373"/>
      <c r="E113" s="60">
        <f>IF('DDR4 Config'!$H$1=1,'DDR4 Spec'!E38,IF('DDR4 Config'!$H$1=2,'DDR4 Spec'!P38,IF('DDR4 Config'!$H$1=3,'DDR4 Spec'!AA38,'DDR4 Spec'!#REF!)))</f>
        <v>4</v>
      </c>
      <c r="F113" s="60">
        <f>IF('DDR4 Config'!$H$1=1,'DDR4 Spec'!F38,IF('DDR4 Config'!$H$1=2,'DDR4 Spec'!Q38,IF('DDR4 Config'!$H$1=3,'DDR4 Spec'!AB38,'DDR4 Spec'!#REF!)))</f>
        <v>4</v>
      </c>
      <c r="G113" s="60">
        <f>IF('DDR4 Config'!$H$1=1,'DDR4 Spec'!G38,IF('DDR4 Config'!$H$1=2,'DDR4 Spec'!R38,IF('DDR4 Config'!$H$1=3,'DDR4 Spec'!AC38,'DDR4 Spec'!#REF!)))</f>
        <v>4</v>
      </c>
      <c r="H113" s="60">
        <f>IF('DDR4 Config'!$H$1=1,'DDR4 Spec'!H38,IF('DDR4 Config'!$H$1=2,'DDR4 Spec'!S38,IF('DDR4 Config'!$H$1=3,'DDR4 Spec'!AD38,'DDR4 Spec'!#REF!)))</f>
        <v>4</v>
      </c>
      <c r="I113" s="60">
        <f>IF('DDR4 Config'!$H$1=1,'DDR4 Spec'!I38,IF('DDR4 Config'!$H$1=2,'DDR4 Spec'!T38,IF('DDR4 Config'!$H$1=3,'DDR4 Spec'!AE38,'DDR4 Spec'!#REF!)))</f>
        <v>4</v>
      </c>
      <c r="J113" s="60">
        <f>IF('DDR4 Config'!$H$1=1,'DDR4 Spec'!J38,IF('DDR4 Config'!$H$1=2,'DDR4 Spec'!U38,IF('DDR4 Config'!$H$1=3,'DDR4 Spec'!AF38,'DDR4 Spec'!#REF!)))</f>
        <v>4</v>
      </c>
      <c r="K113" s="60">
        <f>IF('DDR4 Config'!$H$1=1,'DDR4 Spec'!K38,IF('DDR4 Config'!$H$1=2,'DDR4 Spec'!V38,IF('DDR4 Config'!$H$1=3,'DDR4 Spec'!AG38,'DDR4 Spec'!#REF!)))</f>
        <v>4</v>
      </c>
      <c r="L113" s="60">
        <f>IF('DDR4 Config'!$H$1=1,'DDR4 Spec'!L38,IF('DDR4 Config'!$H$1=2,'DDR4 Spec'!W38,IF('DDR4 Config'!$H$1=3,'DDR4 Spec'!AH38,'DDR4 Spec'!#REF!)))</f>
        <v>4</v>
      </c>
      <c r="M113" s="60">
        <f>IF('DDR4 Config'!$H$1=1,'DDR4 Spec'!M38,IF('DDR4 Config'!$H$1=2,'DDR4 Spec'!X38,IF('DDR4 Config'!$H$1=3,'DDR4 Spec'!AI38,'DDR4 Spec'!#REF!)))</f>
        <v>4</v>
      </c>
      <c r="N113" s="60">
        <f>IF('DDR4 Config'!$H$1=1,'DDR4 Spec'!N38,IF('DDR4 Config'!$H$1=2,'DDR4 Spec'!Y38,IF('DDR4 Config'!$H$1=3,'DDR4 Spec'!AJ38,'DDR4 Spec'!#REF!)))</f>
        <v>4</v>
      </c>
      <c r="O113" s="322">
        <f>HLOOKUP($O$81,$E$81:$N$140,33)</f>
        <v>4</v>
      </c>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41"/>
    </row>
    <row r="114" spans="2:38" ht="18.75" hidden="1" customHeight="1">
      <c r="B114" s="62"/>
      <c r="C114" s="63">
        <f>C107+1</f>
        <v>90</v>
      </c>
      <c r="D114" s="373" t="s">
        <v>177</v>
      </c>
      <c r="E114" s="60">
        <f>IF('DDR4 Config'!$H$1=1,'DDR4 Spec'!E39,IF('DDR4 Config'!$H$1=2,'DDR4 Spec'!P39,IF('DDR4 Config'!$H$1=3,'DDR4 Spec'!AA39,'DDR4 Spec'!#REF!)))</f>
        <v>95</v>
      </c>
      <c r="F114" s="60">
        <f>IF('DDR4 Config'!$H$1=1,'DDR4 Spec'!F39,IF('DDR4 Config'!$H$1=2,'DDR4 Spec'!Q39,IF('DDR4 Config'!$H$1=3,'DDR4 Spec'!AB39,'DDR4 Spec'!#REF!)))</f>
        <v>95</v>
      </c>
      <c r="G114" s="60">
        <f>IF('DDR4 Config'!$H$1=1,'DDR4 Spec'!G39,IF('DDR4 Config'!$H$1=2,'DDR4 Spec'!R39,IF('DDR4 Config'!$H$1=3,'DDR4 Spec'!AC39,'DDR4 Spec'!#REF!)))</f>
        <v>95</v>
      </c>
      <c r="H114" s="60">
        <f>IF('DDR4 Config'!$H$1=1,'DDR4 Spec'!H39,IF('DDR4 Config'!$H$1=2,'DDR4 Spec'!S39,IF('DDR4 Config'!$H$1=3,'DDR4 Spec'!AD39,'DDR4 Spec'!#REF!)))</f>
        <v>103</v>
      </c>
      <c r="I114" s="60">
        <f>IF('DDR4 Config'!$H$1=1,'DDR4 Spec'!I39,IF('DDR4 Config'!$H$1=2,'DDR4 Spec'!T39,IF('DDR4 Config'!$H$1=3,'DDR4 Spec'!AE39,'DDR4 Spec'!#REF!)))</f>
        <v>103</v>
      </c>
      <c r="J114" s="60">
        <f>IF('DDR4 Config'!$H$1=1,'DDR4 Spec'!J39,IF('DDR4 Config'!$H$1=2,'DDR4 Spec'!U39,IF('DDR4 Config'!$H$1=3,'DDR4 Spec'!AF39,'DDR4 Spec'!#REF!)))</f>
        <v>112</v>
      </c>
      <c r="K114" s="60">
        <f>IF('DDR4 Config'!$H$1=1,'DDR4 Spec'!K39,IF('DDR4 Config'!$H$1=2,'DDR4 Spec'!V39,IF('DDR4 Config'!$H$1=3,'DDR4 Spec'!AG39,'DDR4 Spec'!#REF!)))</f>
        <v>112</v>
      </c>
      <c r="L114" s="60">
        <f>IF('DDR4 Config'!$H$1=1,'DDR4 Spec'!L39,IF('DDR4 Config'!$H$1=2,'DDR4 Spec'!W39,IF('DDR4 Config'!$H$1=3,'DDR4 Spec'!AH39,'DDR4 Spec'!#REF!)))</f>
        <v>121</v>
      </c>
      <c r="M114" s="60">
        <f>IF('DDR4 Config'!$H$1=1,'DDR4 Spec'!M39,IF('DDR4 Config'!$H$1=2,'DDR4 Spec'!X39,IF('DDR4 Config'!$H$1=3,'DDR4 Spec'!AI39,'DDR4 Spec'!#REF!)))</f>
        <v>121</v>
      </c>
      <c r="N114" s="60">
        <f>IF('DDR4 Config'!$H$1=1,'DDR4 Spec'!N39,IF('DDR4 Config'!$H$1=2,'DDR4 Spec'!Y39,IF('DDR4 Config'!$H$1=3,'DDR4 Spec'!AJ39,'DDR4 Spec'!#REF!)))</f>
        <v>130</v>
      </c>
      <c r="O114" s="322">
        <f>HLOOKUP($O$81,$E$81:$N$140,34)</f>
        <v>112</v>
      </c>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41"/>
    </row>
    <row r="115" spans="2:38" ht="18.75" hidden="1" customHeight="1">
      <c r="B115" s="62"/>
      <c r="C115" s="63">
        <f t="shared" ref="C115:C116" si="30">C114+1</f>
        <v>91</v>
      </c>
      <c r="D115" s="373"/>
      <c r="E115" s="60">
        <f>IF('DDR4 Config'!$H$1=1,'DDR4 Spec'!E40,IF('DDR4 Config'!$H$1=2,'DDR4 Spec'!P40,IF('DDR4 Config'!$H$1=3,'DDR4 Spec'!AA40,'DDR4 Spec'!#REF!)))</f>
        <v>115</v>
      </c>
      <c r="F115" s="60">
        <f>IF('DDR4 Config'!$H$1=1,'DDR4 Spec'!F40,IF('DDR4 Config'!$H$1=2,'DDR4 Spec'!Q40,IF('DDR4 Config'!$H$1=3,'DDR4 Spec'!AB40,'DDR4 Spec'!#REF!)))</f>
        <v>115</v>
      </c>
      <c r="G115" s="60">
        <f>IF('DDR4 Config'!$H$1=1,'DDR4 Spec'!G40,IF('DDR4 Config'!$H$1=2,'DDR4 Spec'!R40,IF('DDR4 Config'!$H$1=3,'DDR4 Spec'!AC40,'DDR4 Spec'!#REF!)))</f>
        <v>115</v>
      </c>
      <c r="H115" s="60">
        <f>IF('DDR4 Config'!$H$1=1,'DDR4 Spec'!H40,IF('DDR4 Config'!$H$1=2,'DDR4 Spec'!S40,IF('DDR4 Config'!$H$1=3,'DDR4 Spec'!AD40,'DDR4 Spec'!#REF!)))</f>
        <v>123</v>
      </c>
      <c r="I115" s="60">
        <f>IF('DDR4 Config'!$H$1=1,'DDR4 Spec'!I40,IF('DDR4 Config'!$H$1=2,'DDR4 Spec'!T40,IF('DDR4 Config'!$H$1=3,'DDR4 Spec'!AE40,'DDR4 Spec'!#REF!)))</f>
        <v>123</v>
      </c>
      <c r="J115" s="60">
        <f>IF('DDR4 Config'!$H$1=1,'DDR4 Spec'!J40,IF('DDR4 Config'!$H$1=2,'DDR4 Spec'!U40,IF('DDR4 Config'!$H$1=3,'DDR4 Spec'!AF40,'DDR4 Spec'!#REF!)))</f>
        <v>132</v>
      </c>
      <c r="K115" s="60">
        <f>IF('DDR4 Config'!$H$1=1,'DDR4 Spec'!K40,IF('DDR4 Config'!$H$1=2,'DDR4 Spec'!V40,IF('DDR4 Config'!$H$1=3,'DDR4 Spec'!AG40,'DDR4 Spec'!#REF!)))</f>
        <v>132</v>
      </c>
      <c r="L115" s="60">
        <f>IF('DDR4 Config'!$H$1=1,'DDR4 Spec'!L40,IF('DDR4 Config'!$H$1=2,'DDR4 Spec'!W40,IF('DDR4 Config'!$H$1=3,'DDR4 Spec'!AH40,'DDR4 Spec'!#REF!)))</f>
        <v>141</v>
      </c>
      <c r="M115" s="60">
        <f>IF('DDR4 Config'!$H$1=1,'DDR4 Spec'!M40,IF('DDR4 Config'!$H$1=2,'DDR4 Spec'!X40,IF('DDR4 Config'!$H$1=3,'DDR4 Spec'!AI40,'DDR4 Spec'!#REF!)))</f>
        <v>141</v>
      </c>
      <c r="N115" s="60">
        <f>IF('DDR4 Config'!$H$1=1,'DDR4 Spec'!N40,IF('DDR4 Config'!$H$1=2,'DDR4 Spec'!Y40,IF('DDR4 Config'!$H$1=3,'DDR4 Spec'!AJ40,'DDR4 Spec'!#REF!)))</f>
        <v>150</v>
      </c>
      <c r="O115" s="322">
        <f>HLOOKUP($O$81,$E$81:$N$140,35)</f>
        <v>132</v>
      </c>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41"/>
    </row>
    <row r="116" spans="2:38" ht="18.75" hidden="1" customHeight="1">
      <c r="B116" s="62"/>
      <c r="C116" s="63">
        <f t="shared" si="30"/>
        <v>92</v>
      </c>
      <c r="D116" s="373"/>
      <c r="E116" s="60">
        <f>IF('DDR4 Config'!$H$1=1,'DDR4 Spec'!E41,IF('DDR4 Config'!$H$1=2,'DDR4 Spec'!P41,IF('DDR4 Config'!$H$1=3,'DDR4 Spec'!AA41,'DDR4 Spec'!#REF!)))</f>
        <v>213</v>
      </c>
      <c r="F116" s="60">
        <f>IF('DDR4 Config'!$H$1=1,'DDR4 Spec'!F41,IF('DDR4 Config'!$H$1=2,'DDR4 Spec'!Q41,IF('DDR4 Config'!$H$1=3,'DDR4 Spec'!AB41,'DDR4 Spec'!#REF!)))</f>
        <v>213</v>
      </c>
      <c r="G116" s="60">
        <f>IF('DDR4 Config'!$H$1=1,'DDR4 Spec'!G41,IF('DDR4 Config'!$H$1=2,'DDR4 Spec'!R41,IF('DDR4 Config'!$H$1=3,'DDR4 Spec'!AC41,'DDR4 Spec'!#REF!)))</f>
        <v>213</v>
      </c>
      <c r="H116" s="60">
        <f>IF('DDR4 Config'!$H$1=1,'DDR4 Spec'!H41,IF('DDR4 Config'!$H$1=2,'DDR4 Spec'!S41,IF('DDR4 Config'!$H$1=3,'DDR4 Spec'!AD41,'DDR4 Spec'!#REF!)))</f>
        <v>228</v>
      </c>
      <c r="I116" s="60">
        <f>IF('DDR4 Config'!$H$1=1,'DDR4 Spec'!I41,IF('DDR4 Config'!$H$1=2,'DDR4 Spec'!T41,IF('DDR4 Config'!$H$1=3,'DDR4 Spec'!AE41,'DDR4 Spec'!#REF!)))</f>
        <v>228</v>
      </c>
      <c r="J116" s="60">
        <f>IF('DDR4 Config'!$H$1=1,'DDR4 Spec'!J41,IF('DDR4 Config'!$H$1=2,'DDR4 Spec'!U41,IF('DDR4 Config'!$H$1=3,'DDR4 Spec'!AF41,'DDR4 Spec'!#REF!)))</f>
        <v>244</v>
      </c>
      <c r="K116" s="60">
        <f>IF('DDR4 Config'!$H$1=1,'DDR4 Spec'!K41,IF('DDR4 Config'!$H$1=2,'DDR4 Spec'!V41,IF('DDR4 Config'!$H$1=3,'DDR4 Spec'!AG41,'DDR4 Spec'!#REF!)))</f>
        <v>244</v>
      </c>
      <c r="L116" s="60">
        <f>IF('DDR4 Config'!$H$1=1,'DDR4 Spec'!L41,IF('DDR4 Config'!$H$1=2,'DDR4 Spec'!W41,IF('DDR4 Config'!$H$1=3,'DDR4 Spec'!AH41,'DDR4 Spec'!#REF!)))</f>
        <v>261</v>
      </c>
      <c r="M116" s="60">
        <f>IF('DDR4 Config'!$H$1=1,'DDR4 Spec'!M41,IF('DDR4 Config'!$H$1=2,'DDR4 Spec'!X41,IF('DDR4 Config'!$H$1=3,'DDR4 Spec'!AI41,'DDR4 Spec'!#REF!)))</f>
        <v>261</v>
      </c>
      <c r="N116" s="60">
        <f>IF('DDR4 Config'!$H$1=1,'DDR4 Spec'!N41,IF('DDR4 Config'!$H$1=2,'DDR4 Spec'!Y41,IF('DDR4 Config'!$H$1=3,'DDR4 Spec'!AJ41,'DDR4 Spec'!#REF!)))</f>
        <v>278</v>
      </c>
      <c r="O116" s="322">
        <f>HLOOKUP($O$81,$E$81:$N$140,36)</f>
        <v>244</v>
      </c>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41"/>
    </row>
    <row r="117" spans="2:38" ht="18.75" hidden="1" customHeight="1">
      <c r="B117" s="62"/>
      <c r="C117" s="63">
        <f>C110+1</f>
        <v>93</v>
      </c>
      <c r="D117" s="373" t="s">
        <v>390</v>
      </c>
      <c r="E117" s="60">
        <f>IF('DDR4 Config'!$H$1=1,'DDR4 Spec'!E42,IF('DDR4 Config'!$H$1=2,'DDR4 Spec'!P42,IF('DDR4 Config'!$H$1=3,'DDR4 Spec'!AA42,'DDR4 Spec'!#REF!)))</f>
        <v>3</v>
      </c>
      <c r="F117" s="60">
        <f>IF('DDR4 Config'!$H$1=1,'DDR4 Spec'!F42,IF('DDR4 Config'!$H$1=2,'DDR4 Spec'!Q42,IF('DDR4 Config'!$H$1=3,'DDR4 Spec'!AB42,'DDR4 Spec'!#REF!)))</f>
        <v>3</v>
      </c>
      <c r="G117" s="60">
        <f>IF('DDR4 Config'!$H$1=1,'DDR4 Spec'!G42,IF('DDR4 Config'!$H$1=2,'DDR4 Spec'!R42,IF('DDR4 Config'!$H$1=3,'DDR4 Spec'!AC42,'DDR4 Spec'!#REF!)))</f>
        <v>3</v>
      </c>
      <c r="H117" s="60">
        <f>IF('DDR4 Config'!$H$1=1,'DDR4 Spec'!H42,IF('DDR4 Config'!$H$1=2,'DDR4 Spec'!S42,IF('DDR4 Config'!$H$1=3,'DDR4 Spec'!AD42,'DDR4 Spec'!#REF!)))</f>
        <v>3</v>
      </c>
      <c r="I117" s="60">
        <f>IF('DDR4 Config'!$H$1=1,'DDR4 Spec'!I42,IF('DDR4 Config'!$H$1=2,'DDR4 Spec'!T42,IF('DDR4 Config'!$H$1=3,'DDR4 Spec'!AE42,'DDR4 Spec'!#REF!)))</f>
        <v>3</v>
      </c>
      <c r="J117" s="60">
        <f>IF('DDR4 Config'!$H$1=1,'DDR4 Spec'!J42,IF('DDR4 Config'!$H$1=2,'DDR4 Spec'!U42,IF('DDR4 Config'!$H$1=3,'DDR4 Spec'!AF42,'DDR4 Spec'!#REF!)))</f>
        <v>3</v>
      </c>
      <c r="K117" s="60">
        <f>IF('DDR4 Config'!$H$1=1,'DDR4 Spec'!K42,IF('DDR4 Config'!$H$1=2,'DDR4 Spec'!V42,IF('DDR4 Config'!$H$1=3,'DDR4 Spec'!AG42,'DDR4 Spec'!#REF!)))</f>
        <v>3</v>
      </c>
      <c r="L117" s="60">
        <f>IF('DDR4 Config'!$H$1=1,'DDR4 Spec'!L42,IF('DDR4 Config'!$H$1=2,'DDR4 Spec'!W42,IF('DDR4 Config'!$H$1=3,'DDR4 Spec'!AH42,'DDR4 Spec'!#REF!)))</f>
        <v>3</v>
      </c>
      <c r="M117" s="60">
        <f>IF('DDR4 Config'!$H$1=1,'DDR4 Spec'!M42,IF('DDR4 Config'!$H$1=2,'DDR4 Spec'!X42,IF('DDR4 Config'!$H$1=3,'DDR4 Spec'!AI42,'DDR4 Spec'!#REF!)))</f>
        <v>3</v>
      </c>
      <c r="N117" s="60">
        <f>IF('DDR4 Config'!$H$1=1,'DDR4 Spec'!N42,IF('DDR4 Config'!$H$1=2,'DDR4 Spec'!Y42,IF('DDR4 Config'!$H$1=3,'DDR4 Spec'!AJ42,'DDR4 Spec'!#REF!)))</f>
        <v>3</v>
      </c>
      <c r="O117" s="322">
        <f>HLOOKUP($O$81,$E$81:$N$140,37)</f>
        <v>3</v>
      </c>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41"/>
    </row>
    <row r="118" spans="2:38" ht="18.75" hidden="1" customHeight="1">
      <c r="B118" s="62"/>
      <c r="C118" s="63">
        <f t="shared" si="28"/>
        <v>94</v>
      </c>
      <c r="D118" s="373"/>
      <c r="E118" s="60">
        <f>IF('DDR4 Config'!$H$1=1,'DDR4 Spec'!E43,IF('DDR4 Config'!$H$1=2,'DDR4 Spec'!P43,IF('DDR4 Config'!$H$1=3,'DDR4 Spec'!AA43,'DDR4 Spec'!#REF!)))</f>
        <v>3</v>
      </c>
      <c r="F118" s="60">
        <f>IF('DDR4 Config'!$H$1=1,'DDR4 Spec'!F43,IF('DDR4 Config'!$H$1=2,'DDR4 Spec'!Q43,IF('DDR4 Config'!$H$1=3,'DDR4 Spec'!AB43,'DDR4 Spec'!#REF!)))</f>
        <v>3</v>
      </c>
      <c r="G118" s="60">
        <f>IF('DDR4 Config'!$H$1=1,'DDR4 Spec'!G43,IF('DDR4 Config'!$H$1=2,'DDR4 Spec'!R43,IF('DDR4 Config'!$H$1=3,'DDR4 Spec'!AC43,'DDR4 Spec'!#REF!)))</f>
        <v>3</v>
      </c>
      <c r="H118" s="60">
        <f>IF('DDR4 Config'!$H$1=1,'DDR4 Spec'!H43,IF('DDR4 Config'!$H$1=2,'DDR4 Spec'!S43,IF('DDR4 Config'!$H$1=3,'DDR4 Spec'!AD43,'DDR4 Spec'!#REF!)))</f>
        <v>3</v>
      </c>
      <c r="I118" s="60">
        <f>IF('DDR4 Config'!$H$1=1,'DDR4 Spec'!I43,IF('DDR4 Config'!$H$1=2,'DDR4 Spec'!T43,IF('DDR4 Config'!$H$1=3,'DDR4 Spec'!AE43,'DDR4 Spec'!#REF!)))</f>
        <v>3</v>
      </c>
      <c r="J118" s="60">
        <f>IF('DDR4 Config'!$H$1=1,'DDR4 Spec'!J43,IF('DDR4 Config'!$H$1=2,'DDR4 Spec'!U43,IF('DDR4 Config'!$H$1=3,'DDR4 Spec'!AF43,'DDR4 Spec'!#REF!)))</f>
        <v>3</v>
      </c>
      <c r="K118" s="60">
        <f>IF('DDR4 Config'!$H$1=1,'DDR4 Spec'!K43,IF('DDR4 Config'!$H$1=2,'DDR4 Spec'!V43,IF('DDR4 Config'!$H$1=3,'DDR4 Spec'!AG43,'DDR4 Spec'!#REF!)))</f>
        <v>3</v>
      </c>
      <c r="L118" s="60">
        <f>IF('DDR4 Config'!$H$1=1,'DDR4 Spec'!L43,IF('DDR4 Config'!$H$1=2,'DDR4 Spec'!W43,IF('DDR4 Config'!$H$1=3,'DDR4 Spec'!AH43,'DDR4 Spec'!#REF!)))</f>
        <v>3</v>
      </c>
      <c r="M118" s="60">
        <f>IF('DDR4 Config'!$H$1=1,'DDR4 Spec'!M43,IF('DDR4 Config'!$H$1=2,'DDR4 Spec'!X43,IF('DDR4 Config'!$H$1=3,'DDR4 Spec'!AI43,'DDR4 Spec'!#REF!)))</f>
        <v>3</v>
      </c>
      <c r="N118" s="60">
        <f>IF('DDR4 Config'!$H$1=1,'DDR4 Spec'!N43,IF('DDR4 Config'!$H$1=2,'DDR4 Spec'!Y43,IF('DDR4 Config'!$H$1=3,'DDR4 Spec'!AJ43,'DDR4 Spec'!#REF!)))</f>
        <v>3</v>
      </c>
      <c r="O118" s="322">
        <f>HLOOKUP($O$81,$E$81:$N$140,38)</f>
        <v>3</v>
      </c>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41"/>
    </row>
    <row r="119" spans="2:38" ht="18.75" hidden="1" customHeight="1">
      <c r="B119" s="62"/>
      <c r="C119" s="63">
        <f t="shared" si="28"/>
        <v>95</v>
      </c>
      <c r="D119" s="373"/>
      <c r="E119" s="60">
        <f>IF('DDR4 Config'!$H$1=1,'DDR4 Spec'!E44,IF('DDR4 Config'!$H$1=2,'DDR4 Spec'!P44,IF('DDR4 Config'!$H$1=3,'DDR4 Spec'!AA44,'DDR4 Spec'!#REF!)))</f>
        <v>4</v>
      </c>
      <c r="F119" s="60">
        <f>IF('DDR4 Config'!$H$1=1,'DDR4 Spec'!F44,IF('DDR4 Config'!$H$1=2,'DDR4 Spec'!Q44,IF('DDR4 Config'!$H$1=3,'DDR4 Spec'!AB44,'DDR4 Spec'!#REF!)))</f>
        <v>4</v>
      </c>
      <c r="G119" s="60">
        <f>IF('DDR4 Config'!$H$1=1,'DDR4 Spec'!G44,IF('DDR4 Config'!$H$1=2,'DDR4 Spec'!R44,IF('DDR4 Config'!$H$1=3,'DDR4 Spec'!AC44,'DDR4 Spec'!#REF!)))</f>
        <v>4</v>
      </c>
      <c r="H119" s="60">
        <f>IF('DDR4 Config'!$H$1=1,'DDR4 Spec'!H44,IF('DDR4 Config'!$H$1=2,'DDR4 Spec'!S44,IF('DDR4 Config'!$H$1=3,'DDR4 Spec'!AD44,'DDR4 Spec'!#REF!)))</f>
        <v>4</v>
      </c>
      <c r="I119" s="60">
        <f>IF('DDR4 Config'!$H$1=1,'DDR4 Spec'!I44,IF('DDR4 Config'!$H$1=2,'DDR4 Spec'!T44,IF('DDR4 Config'!$H$1=3,'DDR4 Spec'!AE44,'DDR4 Spec'!#REF!)))</f>
        <v>4</v>
      </c>
      <c r="J119" s="60">
        <f>IF('DDR4 Config'!$H$1=1,'DDR4 Spec'!J44,IF('DDR4 Config'!$H$1=2,'DDR4 Spec'!U44,IF('DDR4 Config'!$H$1=3,'DDR4 Spec'!AF44,'DDR4 Spec'!#REF!)))</f>
        <v>4</v>
      </c>
      <c r="K119" s="60">
        <f>IF('DDR4 Config'!$H$1=1,'DDR4 Spec'!K44,IF('DDR4 Config'!$H$1=2,'DDR4 Spec'!V44,IF('DDR4 Config'!$H$1=3,'DDR4 Spec'!AG44,'DDR4 Spec'!#REF!)))</f>
        <v>4</v>
      </c>
      <c r="L119" s="60">
        <f>IF('DDR4 Config'!$H$1=1,'DDR4 Spec'!L44,IF('DDR4 Config'!$H$1=2,'DDR4 Spec'!W44,IF('DDR4 Config'!$H$1=3,'DDR4 Spec'!AH44,'DDR4 Spec'!#REF!)))</f>
        <v>4</v>
      </c>
      <c r="M119" s="60">
        <f>IF('DDR4 Config'!$H$1=1,'DDR4 Spec'!M44,IF('DDR4 Config'!$H$1=2,'DDR4 Spec'!X44,IF('DDR4 Config'!$H$1=3,'DDR4 Spec'!AI44,'DDR4 Spec'!#REF!)))</f>
        <v>4</v>
      </c>
      <c r="N119" s="60">
        <f>IF('DDR4 Config'!$H$1=1,'DDR4 Spec'!N44,IF('DDR4 Config'!$H$1=2,'DDR4 Spec'!Y44,IF('DDR4 Config'!$H$1=3,'DDR4 Spec'!AJ44,'DDR4 Spec'!#REF!)))</f>
        <v>4</v>
      </c>
      <c r="O119" s="322">
        <f>HLOOKUP($O$81,$E$81:$N$140,39)</f>
        <v>4</v>
      </c>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41"/>
    </row>
    <row r="120" spans="2:38" ht="18.75" hidden="1" customHeight="1">
      <c r="B120" s="62"/>
      <c r="C120" s="63">
        <f t="shared" si="28"/>
        <v>96</v>
      </c>
      <c r="D120" s="373" t="s">
        <v>304</v>
      </c>
      <c r="E120" s="60">
        <f>IF('DDR4 Config'!$H$1=1,'DDR4 Spec'!E45,IF('DDR4 Config'!$H$1=2,'DDR4 Spec'!P45,IF('DDR4 Config'!$H$1=3,'DDR4 Spec'!AA45,'DDR4 Spec'!#REF!)))</f>
        <v>369</v>
      </c>
      <c r="F120" s="60">
        <f>IF('DDR4 Config'!$H$1=1,'DDR4 Spec'!F45,IF('DDR4 Config'!$H$1=2,'DDR4 Spec'!Q45,IF('DDR4 Config'!$H$1=3,'DDR4 Spec'!AB45,'DDR4 Spec'!#REF!)))</f>
        <v>369</v>
      </c>
      <c r="G120" s="60">
        <f>IF('DDR4 Config'!$H$1=1,'DDR4 Spec'!G45,IF('DDR4 Config'!$H$1=2,'DDR4 Spec'!R45,IF('DDR4 Config'!$H$1=3,'DDR4 Spec'!AC45,'DDR4 Spec'!#REF!)))</f>
        <v>369</v>
      </c>
      <c r="H120" s="60">
        <f>IF('DDR4 Config'!$H$1=1,'DDR4 Spec'!H45,IF('DDR4 Config'!$H$1=2,'DDR4 Spec'!S45,IF('DDR4 Config'!$H$1=3,'DDR4 Spec'!AD45,'DDR4 Spec'!#REF!)))</f>
        <v>372.28571428571428</v>
      </c>
      <c r="I120" s="60">
        <f>IF('DDR4 Config'!$H$1=1,'DDR4 Spec'!I45,IF('DDR4 Config'!$H$1=2,'DDR4 Spec'!T45,IF('DDR4 Config'!$H$1=3,'DDR4 Spec'!AE45,'DDR4 Spec'!#REF!)))</f>
        <v>372.28571428571428</v>
      </c>
      <c r="J120" s="60">
        <f>IF('DDR4 Config'!$H$1=1,'DDR4 Spec'!J45,IF('DDR4 Config'!$H$1=2,'DDR4 Spec'!U45,IF('DDR4 Config'!$H$1=3,'DDR4 Spec'!AF45,'DDR4 Spec'!#REF!)))</f>
        <v>375.28571428571428</v>
      </c>
      <c r="K120" s="60">
        <f>IF('DDR4 Config'!$H$1=1,'DDR4 Spec'!K45,IF('DDR4 Config'!$H$1=2,'DDR4 Spec'!V45,IF('DDR4 Config'!$H$1=3,'DDR4 Spec'!AG45,'DDR4 Spec'!#REF!)))</f>
        <v>375.28571428571428</v>
      </c>
      <c r="L120" s="60">
        <f>IF('DDR4 Config'!$H$1=1,'DDR4 Spec'!L45,IF('DDR4 Config'!$H$1=2,'DDR4 Spec'!W45,IF('DDR4 Config'!$H$1=3,'DDR4 Spec'!AH45,'DDR4 Spec'!#REF!)))</f>
        <v>378.28571428571428</v>
      </c>
      <c r="M120" s="60">
        <f>IF('DDR4 Config'!$H$1=1,'DDR4 Spec'!M45,IF('DDR4 Config'!$H$1=2,'DDR4 Spec'!X45,IF('DDR4 Config'!$H$1=3,'DDR4 Spec'!AI45,'DDR4 Spec'!#REF!)))</f>
        <v>378.28571428571428</v>
      </c>
      <c r="N120" s="60">
        <f>IF('DDR4 Config'!$H$1=1,'DDR4 Spec'!N45,IF('DDR4 Config'!$H$1=2,'DDR4 Spec'!Y45,IF('DDR4 Config'!$H$1=3,'DDR4 Spec'!AJ45,'DDR4 Spec'!#REF!)))</f>
        <v>381.28571428571428</v>
      </c>
      <c r="O120" s="322">
        <f>HLOOKUP($O$81,$E$81:$N$140,40)</f>
        <v>375.28571428571428</v>
      </c>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41"/>
    </row>
    <row r="121" spans="2:38" ht="18.75" hidden="1" customHeight="1">
      <c r="B121" s="62"/>
      <c r="C121" s="63">
        <f t="shared" si="28"/>
        <v>97</v>
      </c>
      <c r="D121" s="373"/>
      <c r="E121" s="60">
        <f>IF('DDR4 Config'!$H$1=1,'DDR4 Spec'!E46,IF('DDR4 Config'!$H$1=2,'DDR4 Spec'!P46,IF('DDR4 Config'!$H$1=3,'DDR4 Spec'!AA46,'DDR4 Spec'!#REF!)))</f>
        <v>369</v>
      </c>
      <c r="F121" s="60">
        <f>IF('DDR4 Config'!$H$1=1,'DDR4 Spec'!F46,IF('DDR4 Config'!$H$1=2,'DDR4 Spec'!Q46,IF('DDR4 Config'!$H$1=3,'DDR4 Spec'!AB46,'DDR4 Spec'!#REF!)))</f>
        <v>369</v>
      </c>
      <c r="G121" s="60">
        <f>IF('DDR4 Config'!$H$1=1,'DDR4 Spec'!G46,IF('DDR4 Config'!$H$1=2,'DDR4 Spec'!R46,IF('DDR4 Config'!$H$1=3,'DDR4 Spec'!AC46,'DDR4 Spec'!#REF!)))</f>
        <v>369</v>
      </c>
      <c r="H121" s="60">
        <f>IF('DDR4 Config'!$H$1=1,'DDR4 Spec'!H46,IF('DDR4 Config'!$H$1=2,'DDR4 Spec'!S46,IF('DDR4 Config'!$H$1=3,'DDR4 Spec'!AD46,'DDR4 Spec'!#REF!)))</f>
        <v>372.28571428571428</v>
      </c>
      <c r="I121" s="60">
        <f>IF('DDR4 Config'!$H$1=1,'DDR4 Spec'!I46,IF('DDR4 Config'!$H$1=2,'DDR4 Spec'!T46,IF('DDR4 Config'!$H$1=3,'DDR4 Spec'!AE46,'DDR4 Spec'!#REF!)))</f>
        <v>372.28571428571428</v>
      </c>
      <c r="J121" s="60">
        <f>IF('DDR4 Config'!$H$1=1,'DDR4 Spec'!J46,IF('DDR4 Config'!$H$1=2,'DDR4 Spec'!U46,IF('DDR4 Config'!$H$1=3,'DDR4 Spec'!AF46,'DDR4 Spec'!#REF!)))</f>
        <v>375.28571428571428</v>
      </c>
      <c r="K121" s="60">
        <f>IF('DDR4 Config'!$H$1=1,'DDR4 Spec'!K46,IF('DDR4 Config'!$H$1=2,'DDR4 Spec'!V46,IF('DDR4 Config'!$H$1=3,'DDR4 Spec'!AG46,'DDR4 Spec'!#REF!)))</f>
        <v>375.28571428571428</v>
      </c>
      <c r="L121" s="60">
        <f>IF('DDR4 Config'!$H$1=1,'DDR4 Spec'!L46,IF('DDR4 Config'!$H$1=2,'DDR4 Spec'!W46,IF('DDR4 Config'!$H$1=3,'DDR4 Spec'!AH46,'DDR4 Spec'!#REF!)))</f>
        <v>378.28571428571428</v>
      </c>
      <c r="M121" s="60">
        <f>IF('DDR4 Config'!$H$1=1,'DDR4 Spec'!M46,IF('DDR4 Config'!$H$1=2,'DDR4 Spec'!X46,IF('DDR4 Config'!$H$1=3,'DDR4 Spec'!AI46,'DDR4 Spec'!#REF!)))</f>
        <v>378.28571428571428</v>
      </c>
      <c r="N121" s="60">
        <f>IF('DDR4 Config'!$H$1=1,'DDR4 Spec'!N46,IF('DDR4 Config'!$H$1=2,'DDR4 Spec'!Y46,IF('DDR4 Config'!$H$1=3,'DDR4 Spec'!AJ46,'DDR4 Spec'!#REF!)))</f>
        <v>381.28571428571428</v>
      </c>
      <c r="O121" s="322">
        <f>HLOOKUP($O$81,$E$81:$N$140,41)</f>
        <v>375.28571428571428</v>
      </c>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41"/>
    </row>
    <row r="122" spans="2:38" ht="18.75" hidden="1" customHeight="1">
      <c r="B122" s="62"/>
      <c r="C122" s="63">
        <f t="shared" si="28"/>
        <v>98</v>
      </c>
      <c r="D122" s="373"/>
      <c r="E122" s="60">
        <f>IF('DDR4 Config'!$H$1=1,'DDR4 Spec'!E47,IF('DDR4 Config'!$H$1=2,'DDR4 Spec'!P47,IF('DDR4 Config'!$H$1=3,'DDR4 Spec'!AA47,'DDR4 Spec'!#REF!)))</f>
        <v>369</v>
      </c>
      <c r="F122" s="60">
        <f>IF('DDR4 Config'!$H$1=1,'DDR4 Spec'!F47,IF('DDR4 Config'!$H$1=2,'DDR4 Spec'!Q47,IF('DDR4 Config'!$H$1=3,'DDR4 Spec'!AB47,'DDR4 Spec'!#REF!)))</f>
        <v>369</v>
      </c>
      <c r="G122" s="60">
        <f>IF('DDR4 Config'!$H$1=1,'DDR4 Spec'!G47,IF('DDR4 Config'!$H$1=2,'DDR4 Spec'!R47,IF('DDR4 Config'!$H$1=3,'DDR4 Spec'!AC47,'DDR4 Spec'!#REF!)))</f>
        <v>369</v>
      </c>
      <c r="H122" s="60">
        <f>IF('DDR4 Config'!$H$1=1,'DDR4 Spec'!H47,IF('DDR4 Config'!$H$1=2,'DDR4 Spec'!S47,IF('DDR4 Config'!$H$1=3,'DDR4 Spec'!AD47,'DDR4 Spec'!#REF!)))</f>
        <v>372.28571428571428</v>
      </c>
      <c r="I122" s="60">
        <f>IF('DDR4 Config'!$H$1=1,'DDR4 Spec'!I47,IF('DDR4 Config'!$H$1=2,'DDR4 Spec'!T47,IF('DDR4 Config'!$H$1=3,'DDR4 Spec'!AE47,'DDR4 Spec'!#REF!)))</f>
        <v>372.28571428571428</v>
      </c>
      <c r="J122" s="60">
        <f>IF('DDR4 Config'!$H$1=1,'DDR4 Spec'!J47,IF('DDR4 Config'!$H$1=2,'DDR4 Spec'!U47,IF('DDR4 Config'!$H$1=3,'DDR4 Spec'!AF47,'DDR4 Spec'!#REF!)))</f>
        <v>375.28571428571428</v>
      </c>
      <c r="K122" s="60">
        <f>IF('DDR4 Config'!$H$1=1,'DDR4 Spec'!K47,IF('DDR4 Config'!$H$1=2,'DDR4 Spec'!V47,IF('DDR4 Config'!$H$1=3,'DDR4 Spec'!AG47,'DDR4 Spec'!#REF!)))</f>
        <v>375.28571428571428</v>
      </c>
      <c r="L122" s="60">
        <f>IF('DDR4 Config'!$H$1=1,'DDR4 Spec'!L47,IF('DDR4 Config'!$H$1=2,'DDR4 Spec'!W47,IF('DDR4 Config'!$H$1=3,'DDR4 Spec'!AH47,'DDR4 Spec'!#REF!)))</f>
        <v>378.28571428571428</v>
      </c>
      <c r="M122" s="60">
        <f>IF('DDR4 Config'!$H$1=1,'DDR4 Spec'!M47,IF('DDR4 Config'!$H$1=2,'DDR4 Spec'!X47,IF('DDR4 Config'!$H$1=3,'DDR4 Spec'!AI47,'DDR4 Spec'!#REF!)))</f>
        <v>378.28571428571428</v>
      </c>
      <c r="N122" s="60">
        <f>IF('DDR4 Config'!$H$1=1,'DDR4 Spec'!N47,IF('DDR4 Config'!$H$1=2,'DDR4 Spec'!Y47,IF('DDR4 Config'!$H$1=3,'DDR4 Spec'!AJ47,'DDR4 Spec'!#REF!)))</f>
        <v>381.28571428571428</v>
      </c>
      <c r="O122" s="322">
        <f>HLOOKUP($O$81,$E$81:$N$140,42)</f>
        <v>375.28571428571428</v>
      </c>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41"/>
    </row>
    <row r="123" spans="2:38" ht="18.75" hidden="1" customHeight="1">
      <c r="B123" s="62"/>
      <c r="C123" s="63">
        <f t="shared" si="28"/>
        <v>99</v>
      </c>
      <c r="D123" s="373" t="s">
        <v>305</v>
      </c>
      <c r="E123" s="60">
        <f>IF('DDR4 Config'!$H$1=1,'DDR4 Spec'!E48,IF('DDR4 Config'!$H$1=2,'DDR4 Spec'!P48,IF('DDR4 Config'!$H$1=3,'DDR4 Spec'!AA48,'DDR4 Spec'!#REF!)))</f>
        <v>48</v>
      </c>
      <c r="F123" s="60">
        <f>IF('DDR4 Config'!$H$1=1,'DDR4 Spec'!F48,IF('DDR4 Config'!$H$1=2,'DDR4 Spec'!Q48,IF('DDR4 Config'!$H$1=3,'DDR4 Spec'!AB48,'DDR4 Spec'!#REF!)))</f>
        <v>48</v>
      </c>
      <c r="G123" s="60">
        <f>IF('DDR4 Config'!$H$1=1,'DDR4 Spec'!G48,IF('DDR4 Config'!$H$1=2,'DDR4 Spec'!R48,IF('DDR4 Config'!$H$1=3,'DDR4 Spec'!AC48,'DDR4 Spec'!#REF!)))</f>
        <v>48</v>
      </c>
      <c r="H123" s="60">
        <f>IF('DDR4 Config'!$H$1=1,'DDR4 Spec'!H48,IF('DDR4 Config'!$H$1=2,'DDR4 Spec'!S48,IF('DDR4 Config'!$H$1=3,'DDR4 Spec'!AD48,'DDR4 Spec'!#REF!)))</f>
        <v>47.571428571428569</v>
      </c>
      <c r="I123" s="60">
        <f>IF('DDR4 Config'!$H$1=1,'DDR4 Spec'!I48,IF('DDR4 Config'!$H$1=2,'DDR4 Spec'!T48,IF('DDR4 Config'!$H$1=3,'DDR4 Spec'!AE48,'DDR4 Spec'!#REF!)))</f>
        <v>47.571428571428569</v>
      </c>
      <c r="J123" s="60">
        <f>IF('DDR4 Config'!$H$1=1,'DDR4 Spec'!J48,IF('DDR4 Config'!$H$1=2,'DDR4 Spec'!U48,IF('DDR4 Config'!$H$1=3,'DDR4 Spec'!AF48,'DDR4 Spec'!#REF!)))</f>
        <v>47.571428571428569</v>
      </c>
      <c r="K123" s="60">
        <f>IF('DDR4 Config'!$H$1=1,'DDR4 Spec'!K48,IF('DDR4 Config'!$H$1=2,'DDR4 Spec'!V48,IF('DDR4 Config'!$H$1=3,'DDR4 Spec'!AG48,'DDR4 Spec'!#REF!)))</f>
        <v>47.571428571428569</v>
      </c>
      <c r="L123" s="60">
        <f>IF('DDR4 Config'!$H$1=1,'DDR4 Spec'!L48,IF('DDR4 Config'!$H$1=2,'DDR4 Spec'!W48,IF('DDR4 Config'!$H$1=3,'DDR4 Spec'!AH48,'DDR4 Spec'!#REF!)))</f>
        <v>47.571428571428569</v>
      </c>
      <c r="M123" s="60">
        <f>IF('DDR4 Config'!$H$1=1,'DDR4 Spec'!M48,IF('DDR4 Config'!$H$1=2,'DDR4 Spec'!X48,IF('DDR4 Config'!$H$1=3,'DDR4 Spec'!AI48,'DDR4 Spec'!#REF!)))</f>
        <v>47.571428571428569</v>
      </c>
      <c r="N123" s="60">
        <f>IF('DDR4 Config'!$H$1=1,'DDR4 Spec'!N48,IF('DDR4 Config'!$H$1=2,'DDR4 Spec'!Y48,IF('DDR4 Config'!$H$1=3,'DDR4 Spec'!AJ48,'DDR4 Spec'!#REF!)))</f>
        <v>47.571428571428569</v>
      </c>
      <c r="O123" s="322">
        <f>HLOOKUP($O$81,$E$81:$N$140,43)</f>
        <v>47.571428571428569</v>
      </c>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41"/>
    </row>
    <row r="124" spans="2:38" ht="18.75" hidden="1" customHeight="1">
      <c r="B124" s="62"/>
      <c r="C124" s="63">
        <f t="shared" si="28"/>
        <v>100</v>
      </c>
      <c r="D124" s="373"/>
      <c r="E124" s="60">
        <f>IF('DDR4 Config'!$H$1=1,'DDR4 Spec'!E49,IF('DDR4 Config'!$H$1=2,'DDR4 Spec'!P49,IF('DDR4 Config'!$H$1=3,'DDR4 Spec'!AA49,'DDR4 Spec'!#REF!)))</f>
        <v>48</v>
      </c>
      <c r="F124" s="60">
        <f>IF('DDR4 Config'!$H$1=1,'DDR4 Spec'!F49,IF('DDR4 Config'!$H$1=2,'DDR4 Spec'!Q49,IF('DDR4 Config'!$H$1=3,'DDR4 Spec'!AB49,'DDR4 Spec'!#REF!)))</f>
        <v>48</v>
      </c>
      <c r="G124" s="60">
        <f>IF('DDR4 Config'!$H$1=1,'DDR4 Spec'!G49,IF('DDR4 Config'!$H$1=2,'DDR4 Spec'!R49,IF('DDR4 Config'!$H$1=3,'DDR4 Spec'!AC49,'DDR4 Spec'!#REF!)))</f>
        <v>48</v>
      </c>
      <c r="H124" s="60">
        <f>IF('DDR4 Config'!$H$1=1,'DDR4 Spec'!H49,IF('DDR4 Config'!$H$1=2,'DDR4 Spec'!S49,IF('DDR4 Config'!$H$1=3,'DDR4 Spec'!AD49,'DDR4 Spec'!#REF!)))</f>
        <v>47.571428571428569</v>
      </c>
      <c r="I124" s="60">
        <f>IF('DDR4 Config'!$H$1=1,'DDR4 Spec'!I49,IF('DDR4 Config'!$H$1=2,'DDR4 Spec'!T49,IF('DDR4 Config'!$H$1=3,'DDR4 Spec'!AE49,'DDR4 Spec'!#REF!)))</f>
        <v>47.571428571428569</v>
      </c>
      <c r="J124" s="60">
        <f>IF('DDR4 Config'!$H$1=1,'DDR4 Spec'!J49,IF('DDR4 Config'!$H$1=2,'DDR4 Spec'!U49,IF('DDR4 Config'!$H$1=3,'DDR4 Spec'!AF49,'DDR4 Spec'!#REF!)))</f>
        <v>47.571428571428569</v>
      </c>
      <c r="K124" s="60">
        <f>IF('DDR4 Config'!$H$1=1,'DDR4 Spec'!K49,IF('DDR4 Config'!$H$1=2,'DDR4 Spec'!V49,IF('DDR4 Config'!$H$1=3,'DDR4 Spec'!AG49,'DDR4 Spec'!#REF!)))</f>
        <v>47.571428571428569</v>
      </c>
      <c r="L124" s="60">
        <f>IF('DDR4 Config'!$H$1=1,'DDR4 Spec'!L49,IF('DDR4 Config'!$H$1=2,'DDR4 Spec'!W49,IF('DDR4 Config'!$H$1=3,'DDR4 Spec'!AH49,'DDR4 Spec'!#REF!)))</f>
        <v>47.571428571428569</v>
      </c>
      <c r="M124" s="60">
        <f>IF('DDR4 Config'!$H$1=1,'DDR4 Spec'!M49,IF('DDR4 Config'!$H$1=2,'DDR4 Spec'!X49,IF('DDR4 Config'!$H$1=3,'DDR4 Spec'!AI49,'DDR4 Spec'!#REF!)))</f>
        <v>47.571428571428569</v>
      </c>
      <c r="N124" s="60">
        <f>IF('DDR4 Config'!$H$1=1,'DDR4 Spec'!N49,IF('DDR4 Config'!$H$1=2,'DDR4 Spec'!Y49,IF('DDR4 Config'!$H$1=3,'DDR4 Spec'!AJ49,'DDR4 Spec'!#REF!)))</f>
        <v>47.571428571428569</v>
      </c>
      <c r="O124" s="322">
        <f>HLOOKUP($O$81,$E$81:$N$140,44)</f>
        <v>47.571428571428569</v>
      </c>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41"/>
    </row>
    <row r="125" spans="2:38" ht="18.75" hidden="1" customHeight="1">
      <c r="B125" s="62"/>
      <c r="C125" s="63">
        <f t="shared" si="28"/>
        <v>101</v>
      </c>
      <c r="D125" s="373"/>
      <c r="E125" s="60">
        <f>IF('DDR4 Config'!$H$1=1,'DDR4 Spec'!E50,IF('DDR4 Config'!$H$1=2,'DDR4 Spec'!P50,IF('DDR4 Config'!$H$1=3,'DDR4 Spec'!AA50,'DDR4 Spec'!#REF!)))</f>
        <v>48</v>
      </c>
      <c r="F125" s="60">
        <f>IF('DDR4 Config'!$H$1=1,'DDR4 Spec'!F50,IF('DDR4 Config'!$H$1=2,'DDR4 Spec'!Q50,IF('DDR4 Config'!$H$1=3,'DDR4 Spec'!AB50,'DDR4 Spec'!#REF!)))</f>
        <v>48</v>
      </c>
      <c r="G125" s="60">
        <f>IF('DDR4 Config'!$H$1=1,'DDR4 Spec'!G50,IF('DDR4 Config'!$H$1=2,'DDR4 Spec'!R50,IF('DDR4 Config'!$H$1=3,'DDR4 Spec'!AC50,'DDR4 Spec'!#REF!)))</f>
        <v>48</v>
      </c>
      <c r="H125" s="60">
        <f>IF('DDR4 Config'!$H$1=1,'DDR4 Spec'!H50,IF('DDR4 Config'!$H$1=2,'DDR4 Spec'!S50,IF('DDR4 Config'!$H$1=3,'DDR4 Spec'!AD50,'DDR4 Spec'!#REF!)))</f>
        <v>47.571428571428569</v>
      </c>
      <c r="I125" s="60">
        <f>IF('DDR4 Config'!$H$1=1,'DDR4 Spec'!I50,IF('DDR4 Config'!$H$1=2,'DDR4 Spec'!T50,IF('DDR4 Config'!$H$1=3,'DDR4 Spec'!AE50,'DDR4 Spec'!#REF!)))</f>
        <v>47.571428571428569</v>
      </c>
      <c r="J125" s="60">
        <f>IF('DDR4 Config'!$H$1=1,'DDR4 Spec'!J50,IF('DDR4 Config'!$H$1=2,'DDR4 Spec'!U50,IF('DDR4 Config'!$H$1=3,'DDR4 Spec'!AF50,'DDR4 Spec'!#REF!)))</f>
        <v>47.571428571428569</v>
      </c>
      <c r="K125" s="60">
        <f>IF('DDR4 Config'!$H$1=1,'DDR4 Spec'!K50,IF('DDR4 Config'!$H$1=2,'DDR4 Spec'!V50,IF('DDR4 Config'!$H$1=3,'DDR4 Spec'!AG50,'DDR4 Spec'!#REF!)))</f>
        <v>47.571428571428569</v>
      </c>
      <c r="L125" s="60">
        <f>IF('DDR4 Config'!$H$1=1,'DDR4 Spec'!L50,IF('DDR4 Config'!$H$1=2,'DDR4 Spec'!W50,IF('DDR4 Config'!$H$1=3,'DDR4 Spec'!AH50,'DDR4 Spec'!#REF!)))</f>
        <v>47.571428571428569</v>
      </c>
      <c r="M125" s="60">
        <f>IF('DDR4 Config'!$H$1=1,'DDR4 Spec'!M50,IF('DDR4 Config'!$H$1=2,'DDR4 Spec'!X50,IF('DDR4 Config'!$H$1=3,'DDR4 Spec'!AI50,'DDR4 Spec'!#REF!)))</f>
        <v>47.571428571428569</v>
      </c>
      <c r="N125" s="60">
        <f>IF('DDR4 Config'!$H$1=1,'DDR4 Spec'!N50,IF('DDR4 Config'!$H$1=2,'DDR4 Spec'!Y50,IF('DDR4 Config'!$H$1=3,'DDR4 Spec'!AJ50,'DDR4 Spec'!#REF!)))</f>
        <v>47.571428571428569</v>
      </c>
      <c r="O125" s="322">
        <f>HLOOKUP($O$81,$E$81:$N$140,45)</f>
        <v>47.571428571428569</v>
      </c>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41"/>
    </row>
    <row r="126" spans="2:38" ht="18.75" hidden="1" customHeight="1">
      <c r="B126" s="62"/>
      <c r="C126" s="63"/>
      <c r="D126" s="62"/>
      <c r="E126" s="60"/>
      <c r="F126" s="60"/>
      <c r="G126" s="60"/>
      <c r="H126" s="60"/>
      <c r="I126" s="60"/>
      <c r="J126" s="60"/>
      <c r="K126" s="60"/>
      <c r="L126" s="60"/>
      <c r="M126" s="60"/>
      <c r="N126" s="60"/>
      <c r="O126" s="323">
        <v>46</v>
      </c>
      <c r="P126" s="60"/>
      <c r="V126" s="60"/>
      <c r="X126" s="60"/>
      <c r="Y126" s="60"/>
      <c r="Z126" s="60"/>
      <c r="AA126" s="60"/>
      <c r="AB126" s="60"/>
      <c r="AC126" s="60"/>
      <c r="AD126" s="60"/>
      <c r="AE126" s="60"/>
      <c r="AF126" s="60"/>
      <c r="AG126" s="60"/>
      <c r="AH126" s="60"/>
      <c r="AI126" s="60"/>
      <c r="AJ126" s="60"/>
      <c r="AK126" s="60"/>
      <c r="AL126" s="41"/>
    </row>
    <row r="127" spans="2:38" ht="18.75" hidden="1" customHeight="1">
      <c r="B127" s="62"/>
      <c r="C127" s="63"/>
      <c r="D127" s="62"/>
      <c r="E127" s="60"/>
      <c r="F127" s="60"/>
      <c r="G127" s="60"/>
      <c r="H127" s="60"/>
      <c r="I127" s="60"/>
      <c r="J127" s="60"/>
      <c r="K127" s="60"/>
      <c r="L127" s="60"/>
      <c r="M127" s="60"/>
      <c r="N127" s="60"/>
      <c r="O127" s="324">
        <v>46</v>
      </c>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41"/>
    </row>
    <row r="128" spans="2:38" ht="18.75" hidden="1" customHeight="1">
      <c r="B128" s="62"/>
      <c r="C128" s="63"/>
      <c r="D128" s="59" t="s">
        <v>254</v>
      </c>
      <c r="E128" s="60">
        <f>IF('DDR4 Config'!$H$1=1,'DDR4 Spec'!E52,IF('DDR4 Config'!$H$1=2,'DDR4 Spec'!P52,'DDR4 Spec'!AA52))</f>
        <v>1.0708113612004289</v>
      </c>
      <c r="F128" s="236">
        <f>IF('DDR4 Config'!$H$1=1,'DDR4 Spec'!F52,IF('DDR4 Config'!$H$1=2,'DDR4 Spec'!Q52,'DDR4 Spec'!Y52))</f>
        <v>0.93664650726676046</v>
      </c>
      <c r="G128" s="236">
        <f>IF('DDR4 Config'!$H$1=1,'DDR4 Spec'!G52,IF('DDR4 Config'!$H$1=2,'DDR4 Spec'!R52,'DDR4 Spec'!Z52))</f>
        <v>0.93664650726676046</v>
      </c>
      <c r="H128" s="236">
        <f>IF('DDR4 Config'!$H$1=1,'DDR4 Spec'!H52,IF('DDR4 Config'!$H$1=2,'DDR4 Spec'!S52,'DDR4 Spec'!AA52))</f>
        <v>0.83333333333333337</v>
      </c>
      <c r="I128" s="236">
        <f>IF('DDR4 Config'!$H$1=1,'DDR4 Spec'!I52,IF('DDR4 Config'!$H$1=2,'DDR4 Spec'!T52,'DDR4 Spec'!AE52))</f>
        <v>0.83333333333333337</v>
      </c>
      <c r="J128" s="236">
        <f>IF('DDR4 Config'!$H$1=1,'DDR4 Spec'!J52,IF('DDR4 Config'!$H$1=2,'DDR4 Spec'!U52,'DDR4 Spec'!AF52))</f>
        <v>0.75018754688672173</v>
      </c>
      <c r="K128" s="236">
        <f>IF('DDR4 Config'!$H$1=1,'DDR4 Spec'!K52,IF('DDR4 Config'!$H$1=2,'DDR4 Spec'!V52,'DDR4 Spec'!AG52))</f>
        <v>0.75018754688672173</v>
      </c>
      <c r="L128" s="236">
        <f>IF('DDR4 Config'!$H$1=1,'DDR4 Spec'!L52,IF('DDR4 Config'!$H$1=2,'DDR4 Spec'!W52,'DDR4 Spec'!AH52))</f>
        <v>0.68189566996249573</v>
      </c>
      <c r="M128" s="236">
        <f>IF('DDR4 Config'!$H$1=1,'DDR4 Spec'!M52,IF('DDR4 Config'!$H$1=2,'DDR4 Spec'!X52,'DDR4 Spec'!AI52))</f>
        <v>0.68189566996249573</v>
      </c>
      <c r="N128" s="236">
        <f>IF('DDR4 Config'!$H$1=1,'DDR4 Spec'!N52,IF('DDR4 Config'!$H$1=2,'DDR4 Spec'!Y52,'DDR4 Spec'!AJ52))</f>
        <v>0.625</v>
      </c>
      <c r="O128" s="322">
        <f>HLOOKUP($O$81,$E$81:$N$140,48)</f>
        <v>0.75018754688672173</v>
      </c>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41"/>
    </row>
    <row r="129" spans="2:38" ht="18.75" hidden="1" customHeight="1">
      <c r="B129" s="62"/>
      <c r="C129" s="63"/>
      <c r="D129" s="377" t="s">
        <v>253</v>
      </c>
      <c r="E129" s="60">
        <f>IF('DDR4 Config'!$H$1=1,'DDR4 Spec'!E53,IF('DDR4 Config'!$H$1=2,'DDR4 Spec'!P53,'DDR4 Spec'!AA53))</f>
        <v>4.2</v>
      </c>
      <c r="F129" s="60">
        <f>IF('DDR4 Config'!$H$1=1,'DDR4 Spec'!F53,IF('DDR4 Config'!$H$1=2,'DDR4 Spec'!Q53,'DDR4 Spec'!Y53))</f>
        <v>3.7</v>
      </c>
      <c r="G129" s="60">
        <f>IF('DDR4 Config'!$H$1=1,'DDR4 Spec'!G53,IF('DDR4 Config'!$H$1=2,'DDR4 Spec'!R53,'DDR4 Spec'!Z53))</f>
        <v>3.7</v>
      </c>
      <c r="H129" s="60">
        <f>IF('DDR4 Config'!$H$1=1,'DDR4 Spec'!H53,IF('DDR4 Config'!$H$1=2,'DDR4 Spec'!S53,'DDR4 Spec'!AA53))</f>
        <v>3.3</v>
      </c>
      <c r="I129" s="60">
        <f>IF('DDR4 Config'!$H$1=1,'DDR4 Spec'!I53,IF('DDR4 Config'!$H$1=2,'DDR4 Spec'!T53,'DDR4 Spec'!AE53))</f>
        <v>3.3</v>
      </c>
      <c r="J129" s="60">
        <f>IF('DDR4 Config'!$H$1=1,'DDR4 Spec'!J53,IF('DDR4 Config'!$H$1=2,'DDR4 Spec'!U53,'DDR4 Spec'!AF53))</f>
        <v>3</v>
      </c>
      <c r="K129" s="60">
        <f>IF('DDR4 Config'!$H$1=1,'DDR4 Spec'!K53,IF('DDR4 Config'!$H$1=2,'DDR4 Spec'!V53,'DDR4 Spec'!AG53))</f>
        <v>3</v>
      </c>
      <c r="L129" s="60">
        <f>IF('DDR4 Config'!$H$1=1,'DDR4 Spec'!L53,IF('DDR4 Config'!$H$1=2,'DDR4 Spec'!W53,'DDR4 Spec'!AH53))</f>
        <v>2.7</v>
      </c>
      <c r="M129" s="60">
        <f>IF('DDR4 Config'!$H$1=1,'DDR4 Spec'!M53,IF('DDR4 Config'!$H$1=2,'DDR4 Spec'!X53,'DDR4 Spec'!AI53))</f>
        <v>2.7</v>
      </c>
      <c r="N129" s="60">
        <f>IF('DDR4 Config'!$H$1=1,'DDR4 Spec'!N53,IF('DDR4 Config'!$H$1=2,'DDR4 Spec'!Y53,'DDR4 Spec'!AJ53))</f>
        <v>2.5</v>
      </c>
      <c r="O129" s="322">
        <f>HLOOKUP($O$81,$E$81:$N$140,49)</f>
        <v>3</v>
      </c>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41"/>
    </row>
    <row r="130" spans="2:38" ht="18.75" hidden="1" customHeight="1">
      <c r="B130" s="62"/>
      <c r="C130" s="63"/>
      <c r="D130" s="378"/>
      <c r="E130" s="60">
        <f>IF('DDR4 Config'!$H$1=1,'DDR4 Spec'!E54,IF('DDR4 Config'!$H$1=2,'DDR4 Spec'!P54,'DDR4 Spec'!AA54))</f>
        <v>4.2</v>
      </c>
      <c r="F130" s="60">
        <f>IF('DDR4 Config'!$H$1=1,'DDR4 Spec'!F54,IF('DDR4 Config'!$H$1=2,'DDR4 Spec'!Q54,'DDR4 Spec'!Y54))</f>
        <v>3.7</v>
      </c>
      <c r="G130" s="60">
        <f>IF('DDR4 Config'!$H$1=1,'DDR4 Spec'!G54,IF('DDR4 Config'!$H$1=2,'DDR4 Spec'!R54,'DDR4 Spec'!Z54))</f>
        <v>3.7</v>
      </c>
      <c r="H130" s="60">
        <f>IF('DDR4 Config'!$H$1=1,'DDR4 Spec'!H54,IF('DDR4 Config'!$H$1=2,'DDR4 Spec'!S54,'DDR4 Spec'!AA54))</f>
        <v>3.3</v>
      </c>
      <c r="I130" s="60">
        <f>IF('DDR4 Config'!$H$1=1,'DDR4 Spec'!I54,IF('DDR4 Config'!$H$1=2,'DDR4 Spec'!T54,'DDR4 Spec'!AE54))</f>
        <v>3.3</v>
      </c>
      <c r="J130" s="60">
        <f>IF('DDR4 Config'!$H$1=1,'DDR4 Spec'!J54,IF('DDR4 Config'!$H$1=2,'DDR4 Spec'!U54,'DDR4 Spec'!AF54))</f>
        <v>3</v>
      </c>
      <c r="K130" s="60">
        <f>IF('DDR4 Config'!$H$1=1,'DDR4 Spec'!K54,IF('DDR4 Config'!$H$1=2,'DDR4 Spec'!V54,'DDR4 Spec'!AG54))</f>
        <v>3</v>
      </c>
      <c r="L130" s="60">
        <f>IF('DDR4 Config'!$H$1=1,'DDR4 Spec'!L54,IF('DDR4 Config'!$H$1=2,'DDR4 Spec'!W54,'DDR4 Spec'!AH54))</f>
        <v>2.7</v>
      </c>
      <c r="M130" s="60">
        <f>IF('DDR4 Config'!$H$1=1,'DDR4 Spec'!M54,IF('DDR4 Config'!$H$1=2,'DDR4 Spec'!X54,'DDR4 Spec'!AI54))</f>
        <v>2.7</v>
      </c>
      <c r="N130" s="60">
        <f>IF('DDR4 Config'!$H$1=1,'DDR4 Spec'!N54,IF('DDR4 Config'!$H$1=2,'DDR4 Spec'!Y54,'DDR4 Spec'!AJ54))</f>
        <v>2.5</v>
      </c>
      <c r="O130" s="322">
        <f>HLOOKUP($O$81,$E$81:$N$140,50)</f>
        <v>3</v>
      </c>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41"/>
    </row>
    <row r="131" spans="2:38" ht="18.75" hidden="1" customHeight="1">
      <c r="B131" s="62"/>
      <c r="C131" s="63"/>
      <c r="D131" s="379"/>
      <c r="E131" s="60">
        <f>IF('DDR4 Config'!$H$1=1,'DDR4 Spec'!E55,IF('DDR4 Config'!$H$1=2,'DDR4 Spec'!P55,'DDR4 Spec'!AA55))</f>
        <v>5.3</v>
      </c>
      <c r="F131" s="60">
        <f>IF('DDR4 Config'!$H$1=1,'DDR4 Spec'!F55,IF('DDR4 Config'!$H$1=2,'DDR4 Spec'!Q55,'DDR4 Spec'!Y55))</f>
        <v>5.3</v>
      </c>
      <c r="G131" s="60">
        <f>IF('DDR4 Config'!$H$1=1,'DDR4 Spec'!G55,IF('DDR4 Config'!$H$1=2,'DDR4 Spec'!R55,'DDR4 Spec'!Z55))</f>
        <v>5.3</v>
      </c>
      <c r="H131" s="60">
        <f>IF('DDR4 Config'!$H$1=1,'DDR4 Spec'!H55,IF('DDR4 Config'!$H$1=2,'DDR4 Spec'!S55,'DDR4 Spec'!AA55))</f>
        <v>5.3</v>
      </c>
      <c r="I131" s="60">
        <f>IF('DDR4 Config'!$H$1=1,'DDR4 Spec'!I55,IF('DDR4 Config'!$H$1=2,'DDR4 Spec'!T55,'DDR4 Spec'!AE55))</f>
        <v>5.3</v>
      </c>
      <c r="J131" s="60">
        <f>IF('DDR4 Config'!$H$1=1,'DDR4 Spec'!J55,IF('DDR4 Config'!$H$1=2,'DDR4 Spec'!U55,'DDR4 Spec'!AF55))</f>
        <v>5.3</v>
      </c>
      <c r="K131" s="60">
        <f>IF('DDR4 Config'!$H$1=1,'DDR4 Spec'!K55,IF('DDR4 Config'!$H$1=2,'DDR4 Spec'!V55,'DDR4 Spec'!AG55))</f>
        <v>5.3</v>
      </c>
      <c r="L131" s="60">
        <f>IF('DDR4 Config'!$H$1=1,'DDR4 Spec'!L55,IF('DDR4 Config'!$H$1=2,'DDR4 Spec'!W55,'DDR4 Spec'!AH55))</f>
        <v>5.3</v>
      </c>
      <c r="M131" s="60">
        <f>IF('DDR4 Config'!$H$1=1,'DDR4 Spec'!M55,IF('DDR4 Config'!$H$1=2,'DDR4 Spec'!X55,'DDR4 Spec'!AI55))</f>
        <v>5.3</v>
      </c>
      <c r="N131" s="60">
        <f>IF('DDR4 Config'!$H$1=1,'DDR4 Spec'!N55,IF('DDR4 Config'!$H$1=2,'DDR4 Spec'!Y55,'DDR4 Spec'!AJ55))</f>
        <v>5.3</v>
      </c>
      <c r="O131" s="322">
        <f>HLOOKUP($O$81,$E$81:$N$140,51)</f>
        <v>5.3</v>
      </c>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41"/>
    </row>
    <row r="132" spans="2:38" ht="18.75" hidden="1" customHeight="1">
      <c r="B132" s="62"/>
      <c r="C132" s="63"/>
      <c r="D132" s="377" t="s">
        <v>241</v>
      </c>
      <c r="E132" s="60">
        <f>IF('DDR4 Config'!$H$1=1,'DDR4 Spec'!E56,IF('DDR4 Config'!$H$1=2,'DDR4 Spec'!P56,'DDR4 Spec'!AA56))</f>
        <v>5.3</v>
      </c>
      <c r="F132" s="60">
        <f>IF('DDR4 Config'!$H$1=1,'DDR4 Spec'!F56,IF('DDR4 Config'!$H$1=2,'DDR4 Spec'!Q56,'DDR4 Spec'!Y56))</f>
        <v>5.3</v>
      </c>
      <c r="G132" s="60">
        <f>IF('DDR4 Config'!$H$1=1,'DDR4 Spec'!G56,IF('DDR4 Config'!$H$1=2,'DDR4 Spec'!R56,'DDR4 Spec'!Z56))</f>
        <v>5.3</v>
      </c>
      <c r="H132" s="60">
        <f>IF('DDR4 Config'!$H$1=1,'DDR4 Spec'!H56,IF('DDR4 Config'!$H$1=2,'DDR4 Spec'!S56,'DDR4 Spec'!AA56))</f>
        <v>4.9000000000000004</v>
      </c>
      <c r="I132" s="60">
        <f>IF('DDR4 Config'!$H$1=1,'DDR4 Spec'!I56,IF('DDR4 Config'!$H$1=2,'DDR4 Spec'!T56,'DDR4 Spec'!AE56))</f>
        <v>4.9000000000000004</v>
      </c>
      <c r="J132" s="60">
        <f>IF('DDR4 Config'!$H$1=1,'DDR4 Spec'!J56,IF('DDR4 Config'!$H$1=2,'DDR4 Spec'!U56,'DDR4 Spec'!AF56))</f>
        <v>4.9000000000000004</v>
      </c>
      <c r="K132" s="60">
        <f>IF('DDR4 Config'!$H$1=1,'DDR4 Spec'!K56,IF('DDR4 Config'!$H$1=2,'DDR4 Spec'!V56,'DDR4 Spec'!AG56))</f>
        <v>4.9000000000000004</v>
      </c>
      <c r="L132" s="60">
        <f>IF('DDR4 Config'!$H$1=1,'DDR4 Spec'!L56,IF('DDR4 Config'!$H$1=2,'DDR4 Spec'!W56,'DDR4 Spec'!AH56))</f>
        <v>4.9000000000000004</v>
      </c>
      <c r="M132" s="60">
        <f>IF('DDR4 Config'!$H$1=1,'DDR4 Spec'!M56,IF('DDR4 Config'!$H$1=2,'DDR4 Spec'!X56,'DDR4 Spec'!AI56))</f>
        <v>4.9000000000000004</v>
      </c>
      <c r="N132" s="60">
        <f>IF('DDR4 Config'!$H$1=1,'DDR4 Spec'!N56,IF('DDR4 Config'!$H$1=2,'DDR4 Spec'!Y56,'DDR4 Spec'!AJ56))</f>
        <v>4.9000000000000004</v>
      </c>
      <c r="O132" s="322">
        <f>HLOOKUP($O$81,$E$81:$N$140,52)</f>
        <v>4.9000000000000004</v>
      </c>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41"/>
    </row>
    <row r="133" spans="2:38" ht="18.75" hidden="1" customHeight="1">
      <c r="B133" s="62"/>
      <c r="C133" s="63"/>
      <c r="D133" s="378"/>
      <c r="E133" s="60">
        <f>IF('DDR4 Config'!$H$1=1,'DDR4 Spec'!E57,IF('DDR4 Config'!$H$1=2,'DDR4 Spec'!P57,'DDR4 Spec'!AA57))</f>
        <v>5.3</v>
      </c>
      <c r="F133" s="60">
        <f>IF('DDR4 Config'!$H$1=1,'DDR4 Spec'!F57,IF('DDR4 Config'!$H$1=2,'DDR4 Spec'!Q57,'DDR4 Spec'!Y57))</f>
        <v>5.3</v>
      </c>
      <c r="G133" s="60">
        <f>IF('DDR4 Config'!$H$1=1,'DDR4 Spec'!G57,IF('DDR4 Config'!$H$1=2,'DDR4 Spec'!R57,'DDR4 Spec'!Z57))</f>
        <v>5.3</v>
      </c>
      <c r="H133" s="60">
        <f>IF('DDR4 Config'!$H$1=1,'DDR4 Spec'!H57,IF('DDR4 Config'!$H$1=2,'DDR4 Spec'!S57,'DDR4 Spec'!AA57))</f>
        <v>4.9000000000000004</v>
      </c>
      <c r="I133" s="60">
        <f>IF('DDR4 Config'!$H$1=1,'DDR4 Spec'!I57,IF('DDR4 Config'!$H$1=2,'DDR4 Spec'!T57,'DDR4 Spec'!AE57))</f>
        <v>4.9000000000000004</v>
      </c>
      <c r="J133" s="60">
        <f>IF('DDR4 Config'!$H$1=1,'DDR4 Spec'!J57,IF('DDR4 Config'!$H$1=2,'DDR4 Spec'!U57,'DDR4 Spec'!AF57))</f>
        <v>4.9000000000000004</v>
      </c>
      <c r="K133" s="60">
        <f>IF('DDR4 Config'!$H$1=1,'DDR4 Spec'!K57,IF('DDR4 Config'!$H$1=2,'DDR4 Spec'!V57,'DDR4 Spec'!AG57))</f>
        <v>4.9000000000000004</v>
      </c>
      <c r="L133" s="60">
        <f>IF('DDR4 Config'!$H$1=1,'DDR4 Spec'!L57,IF('DDR4 Config'!$H$1=2,'DDR4 Spec'!W57,'DDR4 Spec'!AH57))</f>
        <v>4.9000000000000004</v>
      </c>
      <c r="M133" s="60">
        <f>IF('DDR4 Config'!$H$1=1,'DDR4 Spec'!M57,IF('DDR4 Config'!$H$1=2,'DDR4 Spec'!X57,'DDR4 Spec'!AI57))</f>
        <v>4.9000000000000004</v>
      </c>
      <c r="N133" s="60">
        <f>IF('DDR4 Config'!$H$1=1,'DDR4 Spec'!N57,IF('DDR4 Config'!$H$1=2,'DDR4 Spec'!Y57,'DDR4 Spec'!AJ57))</f>
        <v>4.9000000000000004</v>
      </c>
      <c r="O133" s="322">
        <f>HLOOKUP($O$81,$E$81:$N$140,53)</f>
        <v>4.9000000000000004</v>
      </c>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41"/>
    </row>
    <row r="134" spans="2:38" ht="18.75" hidden="1" customHeight="1">
      <c r="B134" s="62"/>
      <c r="C134" s="63"/>
      <c r="D134" s="379"/>
      <c r="E134" s="60">
        <f>IF('DDR4 Config'!$H$1=1,'DDR4 Spec'!E58,IF('DDR4 Config'!$H$1=2,'DDR4 Spec'!P58,'DDR4 Spec'!AA58))</f>
        <v>6.4</v>
      </c>
      <c r="F134" s="60">
        <f>IF('DDR4 Config'!$H$1=1,'DDR4 Spec'!F58,IF('DDR4 Config'!$H$1=2,'DDR4 Spec'!Q58,'DDR4 Spec'!Y58))</f>
        <v>6.4</v>
      </c>
      <c r="G134" s="60">
        <f>IF('DDR4 Config'!$H$1=1,'DDR4 Spec'!G58,IF('DDR4 Config'!$H$1=2,'DDR4 Spec'!R58,'DDR4 Spec'!Z58))</f>
        <v>6.4</v>
      </c>
      <c r="H134" s="60">
        <f>IF('DDR4 Config'!$H$1=1,'DDR4 Spec'!H58,IF('DDR4 Config'!$H$1=2,'DDR4 Spec'!S58,'DDR4 Spec'!AA58))</f>
        <v>6.4</v>
      </c>
      <c r="I134" s="60">
        <f>IF('DDR4 Config'!$H$1=1,'DDR4 Spec'!I58,IF('DDR4 Config'!$H$1=2,'DDR4 Spec'!T58,'DDR4 Spec'!AE58))</f>
        <v>6.4</v>
      </c>
      <c r="J134" s="60">
        <f>IF('DDR4 Config'!$H$1=1,'DDR4 Spec'!J58,IF('DDR4 Config'!$H$1=2,'DDR4 Spec'!U58,'DDR4 Spec'!AF58))</f>
        <v>6.4</v>
      </c>
      <c r="K134" s="60">
        <f>IF('DDR4 Config'!$H$1=1,'DDR4 Spec'!K58,IF('DDR4 Config'!$H$1=2,'DDR4 Spec'!V58,'DDR4 Spec'!AG58))</f>
        <v>6.4</v>
      </c>
      <c r="L134" s="60">
        <f>IF('DDR4 Config'!$H$1=1,'DDR4 Spec'!L58,IF('DDR4 Config'!$H$1=2,'DDR4 Spec'!W58,'DDR4 Spec'!AH58))</f>
        <v>6.4</v>
      </c>
      <c r="M134" s="60">
        <f>IF('DDR4 Config'!$H$1=1,'DDR4 Spec'!M58,IF('DDR4 Config'!$H$1=2,'DDR4 Spec'!X58,'DDR4 Spec'!AI58))</f>
        <v>6.4</v>
      </c>
      <c r="N134" s="60">
        <f>IF('DDR4 Config'!$H$1=1,'DDR4 Spec'!N58,IF('DDR4 Config'!$H$1=2,'DDR4 Spec'!Y58,'DDR4 Spec'!AJ58))</f>
        <v>6.4</v>
      </c>
      <c r="O134" s="322">
        <f>HLOOKUP($O$81,$E$81:$N$140,54)</f>
        <v>6.4</v>
      </c>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41"/>
    </row>
    <row r="135" spans="2:38" ht="18.75" hidden="1" customHeight="1">
      <c r="B135" s="62"/>
      <c r="C135" s="63"/>
      <c r="D135" s="80" t="s">
        <v>158</v>
      </c>
      <c r="E135" s="60">
        <f>IF('DDR4 Config'!$H$1=1,'DDR4 Spec'!E59,IF('DDR4 Config'!$H$1=2,'DDR4 Spec'!P59,'DDR4 Spec'!AA59))</f>
        <v>47.9</v>
      </c>
      <c r="F135" s="60">
        <f>IF('DDR4 Config'!$H$1=1,'DDR4 Spec'!F59,IF('DDR4 Config'!$H$1=2,'DDR4 Spec'!Q59,'DDR4 Spec'!Y59))</f>
        <v>48</v>
      </c>
      <c r="G135" s="60">
        <f>IF('DDR4 Config'!$H$1=1,'DDR4 Spec'!G59,IF('DDR4 Config'!$H$1=2,'DDR4 Spec'!R59,'DDR4 Spec'!Z59))</f>
        <v>47.06</v>
      </c>
      <c r="H135" s="60">
        <f>IF('DDR4 Config'!$H$1=1,'DDR4 Spec'!H59,IF('DDR4 Config'!$H$1=2,'DDR4 Spec'!S59,'DDR4 Spec'!AA59))</f>
        <v>46.16</v>
      </c>
      <c r="I135" s="60">
        <f>IF('DDR4 Config'!$H$1=1,'DDR4 Spec'!I59,IF('DDR4 Config'!$H$1=2,'DDR4 Spec'!T59,'DDR4 Spec'!AE59))</f>
        <v>45.32</v>
      </c>
      <c r="J135" s="60">
        <f>IF('DDR4 Config'!$H$1=1,'DDR4 Spec'!J59,IF('DDR4 Config'!$H$1=2,'DDR4 Spec'!U59,'DDR4 Spec'!AF59))</f>
        <v>46.16</v>
      </c>
      <c r="K135" s="60">
        <f>IF('DDR4 Config'!$H$1=1,'DDR4 Spec'!K59,IF('DDR4 Config'!$H$1=2,'DDR4 Spec'!V59,'DDR4 Spec'!AG59))</f>
        <v>46.16</v>
      </c>
      <c r="L135" s="60">
        <f>IF('DDR4 Config'!$H$1=1,'DDR4 Spec'!L59,IF('DDR4 Config'!$H$1=2,'DDR4 Spec'!W59,'DDR4 Spec'!AH59))</f>
        <v>46.32</v>
      </c>
      <c r="M135" s="60">
        <f>IF('DDR4 Config'!$H$1=1,'DDR4 Spec'!M59,IF('DDR4 Config'!$H$1=2,'DDR4 Spec'!X59,'DDR4 Spec'!AI59))</f>
        <v>45.64</v>
      </c>
      <c r="N135" s="60">
        <f>IF('DDR4 Config'!$H$1=1,'DDR4 Spec'!N59,IF('DDR4 Config'!$H$1=2,'DDR4 Spec'!Y59,'DDR4 Spec'!AJ59))</f>
        <v>45.75</v>
      </c>
      <c r="O135" s="322">
        <f>HLOOKUP($O$81,$E$81:$N$140,55)</f>
        <v>46.16</v>
      </c>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41"/>
    </row>
    <row r="136" spans="2:38" ht="18.75" hidden="1" customHeight="1">
      <c r="B136" s="62"/>
      <c r="C136" s="63"/>
      <c r="D136" s="80" t="s">
        <v>159</v>
      </c>
      <c r="E136" s="60">
        <f>IF('DDR4 Config'!$H$1=1,'DDR4 Spec'!E60,IF('DDR4 Config'!$H$1=2,'DDR4 Spec'!P60,'DDR4 Spec'!AA60))</f>
        <v>34</v>
      </c>
      <c r="F136" s="60">
        <f>IF('DDR4 Config'!$H$1=1,'DDR4 Spec'!F60,IF('DDR4 Config'!$H$1=2,'DDR4 Spec'!Q60,'DDR4 Spec'!Y60))</f>
        <v>33</v>
      </c>
      <c r="G136" s="60">
        <f>IF('DDR4 Config'!$H$1=1,'DDR4 Spec'!G60,IF('DDR4 Config'!$H$1=2,'DDR4 Spec'!R60,'DDR4 Spec'!Z60))</f>
        <v>33</v>
      </c>
      <c r="H136" s="60">
        <f>IF('DDR4 Config'!$H$1=1,'DDR4 Spec'!H60,IF('DDR4 Config'!$H$1=2,'DDR4 Spec'!S60,'DDR4 Spec'!AA60))</f>
        <v>32</v>
      </c>
      <c r="I136" s="60">
        <f>IF('DDR4 Config'!$H$1=1,'DDR4 Spec'!I60,IF('DDR4 Config'!$H$1=2,'DDR4 Spec'!T60,'DDR4 Spec'!AE60))</f>
        <v>32</v>
      </c>
      <c r="J136" s="60">
        <f>IF('DDR4 Config'!$H$1=1,'DDR4 Spec'!J60,IF('DDR4 Config'!$H$1=2,'DDR4 Spec'!U60,'DDR4 Spec'!AF60))</f>
        <v>32</v>
      </c>
      <c r="K136" s="60">
        <f>IF('DDR4 Config'!$H$1=1,'DDR4 Spec'!K60,IF('DDR4 Config'!$H$1=2,'DDR4 Spec'!V60,'DDR4 Spec'!AG60))</f>
        <v>32</v>
      </c>
      <c r="L136" s="60">
        <f>IF('DDR4 Config'!$H$1=1,'DDR4 Spec'!L60,IF('DDR4 Config'!$H$1=2,'DDR4 Spec'!W60,'DDR4 Spec'!AH60))</f>
        <v>32</v>
      </c>
      <c r="M136" s="60">
        <f>IF('DDR4 Config'!$H$1=1,'DDR4 Spec'!M60,IF('DDR4 Config'!$H$1=2,'DDR4 Spec'!X60,'DDR4 Spec'!AI60))</f>
        <v>32</v>
      </c>
      <c r="N136" s="60">
        <f>IF('DDR4 Config'!$H$1=1,'DDR4 Spec'!N60,IF('DDR4 Config'!$H$1=2,'DDR4 Spec'!Y60,'DDR4 Spec'!AJ60))</f>
        <v>32</v>
      </c>
      <c r="O136" s="322">
        <f>HLOOKUP($O$81,$E$81:$N$140,56)</f>
        <v>32</v>
      </c>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41"/>
    </row>
    <row r="137" spans="2:38" ht="18.75" hidden="1" customHeight="1">
      <c r="B137" s="62"/>
      <c r="C137" s="63"/>
      <c r="D137" s="80" t="s">
        <v>161</v>
      </c>
      <c r="E137" s="60">
        <f>IF('DDR4 Config'!$H$1=1,'DDR4 Spec'!E61,IF('DDR4 Config'!$H$1=2,'DDR4 Spec'!P61,'DDR4 Spec'!AA61))</f>
        <v>350</v>
      </c>
      <c r="F137" s="60">
        <f>IF('DDR4 Config'!$H$1=1,'DDR4 Spec'!F61,IF('DDR4 Config'!$H$1=2,'DDR4 Spec'!Q61,'DDR4 Spec'!Y61))</f>
        <v>350</v>
      </c>
      <c r="G137" s="60">
        <f>IF('DDR4 Config'!$H$1=1,'DDR4 Spec'!G61,IF('DDR4 Config'!$H$1=2,'DDR4 Spec'!R61,'DDR4 Spec'!Z61))</f>
        <v>350</v>
      </c>
      <c r="H137" s="60">
        <f>IF('DDR4 Config'!$H$1=1,'DDR4 Spec'!H61,IF('DDR4 Config'!$H$1=2,'DDR4 Spec'!S61,'DDR4 Spec'!AA61))</f>
        <v>350</v>
      </c>
      <c r="I137" s="60">
        <f>IF('DDR4 Config'!$H$1=1,'DDR4 Spec'!I61,IF('DDR4 Config'!$H$1=2,'DDR4 Spec'!T61,'DDR4 Spec'!AE61))</f>
        <v>350</v>
      </c>
      <c r="J137" s="60">
        <f>IF('DDR4 Config'!$H$1=1,'DDR4 Spec'!J61,IF('DDR4 Config'!$H$1=2,'DDR4 Spec'!U61,'DDR4 Spec'!AF61))</f>
        <v>350</v>
      </c>
      <c r="K137" s="60">
        <f>IF('DDR4 Config'!$H$1=1,'DDR4 Spec'!K61,IF('DDR4 Config'!$H$1=2,'DDR4 Spec'!V61,'DDR4 Spec'!AG61))</f>
        <v>350</v>
      </c>
      <c r="L137" s="60">
        <f>IF('DDR4 Config'!$H$1=1,'DDR4 Spec'!L61,IF('DDR4 Config'!$H$1=2,'DDR4 Spec'!W61,'DDR4 Spec'!AH61))</f>
        <v>350</v>
      </c>
      <c r="M137" s="60">
        <f>IF('DDR4 Config'!$H$1=1,'DDR4 Spec'!M61,IF('DDR4 Config'!$H$1=2,'DDR4 Spec'!X61,'DDR4 Spec'!AI61))</f>
        <v>350</v>
      </c>
      <c r="N137" s="60">
        <f>IF('DDR4 Config'!$H$1=1,'DDR4 Spec'!N61,IF('DDR4 Config'!$H$1=2,'DDR4 Spec'!Y61,'DDR4 Spec'!AJ61))</f>
        <v>350</v>
      </c>
      <c r="O137" s="322">
        <f>HLOOKUP($O$81,$E$81:$N$140,57)</f>
        <v>350</v>
      </c>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41"/>
    </row>
    <row r="138" spans="2:38" ht="18.75" hidden="1" customHeight="1">
      <c r="B138" s="62"/>
      <c r="C138" s="63"/>
      <c r="D138" s="80" t="s">
        <v>162</v>
      </c>
      <c r="E138" s="60">
        <f>IF('DDR4 Config'!$H$1=1,'DDR4 Spec'!E62,IF('DDR4 Config'!$H$1=2,'DDR4 Spec'!P62,'DDR4 Spec'!AA62))</f>
        <v>7.8</v>
      </c>
      <c r="F138" s="60">
        <f>IF('DDR4 Config'!$H$1=1,'DDR4 Spec'!F62,IF('DDR4 Config'!$H$1=2,'DDR4 Spec'!Q62,'DDR4 Spec'!Y62))</f>
        <v>7.8</v>
      </c>
      <c r="G138" s="60">
        <f>IF('DDR4 Config'!$H$1=1,'DDR4 Spec'!G62,IF('DDR4 Config'!$H$1=2,'DDR4 Spec'!R62,'DDR4 Spec'!Z62))</f>
        <v>7.8</v>
      </c>
      <c r="H138" s="60">
        <f>IF('DDR4 Config'!$H$1=1,'DDR4 Spec'!H62,IF('DDR4 Config'!$H$1=2,'DDR4 Spec'!S62,'DDR4 Spec'!AA62))</f>
        <v>7.8</v>
      </c>
      <c r="I138" s="60">
        <f>IF('DDR4 Config'!$H$1=1,'DDR4 Spec'!I62,IF('DDR4 Config'!$H$1=2,'DDR4 Spec'!T62,'DDR4 Spec'!AE62))</f>
        <v>7.8</v>
      </c>
      <c r="J138" s="60">
        <f>IF('DDR4 Config'!$H$1=1,'DDR4 Spec'!J62,IF('DDR4 Config'!$H$1=2,'DDR4 Spec'!U62,'DDR4 Spec'!AF62))</f>
        <v>7.8</v>
      </c>
      <c r="K138" s="60">
        <f>IF('DDR4 Config'!$H$1=1,'DDR4 Spec'!K62,IF('DDR4 Config'!$H$1=2,'DDR4 Spec'!V62,'DDR4 Spec'!AG62))</f>
        <v>7.8</v>
      </c>
      <c r="L138" s="60">
        <f>IF('DDR4 Config'!$H$1=1,'DDR4 Spec'!L62,IF('DDR4 Config'!$H$1=2,'DDR4 Spec'!W62,'DDR4 Spec'!AH62))</f>
        <v>7.8</v>
      </c>
      <c r="M138" s="60">
        <f>IF('DDR4 Config'!$H$1=1,'DDR4 Spec'!M62,IF('DDR4 Config'!$H$1=2,'DDR4 Spec'!X62,'DDR4 Spec'!AI62))</f>
        <v>7.8</v>
      </c>
      <c r="N138" s="60">
        <f>IF('DDR4 Config'!$H$1=1,'DDR4 Spec'!N62,IF('DDR4 Config'!$H$1=2,'DDR4 Spec'!Y62,'DDR4 Spec'!AJ62))</f>
        <v>7.8</v>
      </c>
      <c r="O138" s="322">
        <f>HLOOKUP($O$81,$E$81:$N$140,58)</f>
        <v>7.8</v>
      </c>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41"/>
    </row>
    <row r="139" spans="2:38" ht="18.75" hidden="1" customHeight="1">
      <c r="B139" s="62"/>
      <c r="C139" s="63"/>
      <c r="D139" s="80" t="s">
        <v>163</v>
      </c>
      <c r="E139" s="60">
        <f>IF('DDR4 Config'!$H$1=1,'DDR4 Spec'!E63,IF('DDR4 Config'!$H$1=2,'DDR4 Spec'!P63,'DDR4 Spec'!AA63))</f>
        <v>1.0708113612004289</v>
      </c>
      <c r="F139" s="236">
        <f>IF('DDR4 Config'!$H$1=1,'DDR4 Spec'!F63,IF('DDR4 Config'!$H$1=2,'DDR4 Spec'!Q63,'DDR4 Spec'!Y63))</f>
        <v>0.93664650726676046</v>
      </c>
      <c r="G139" s="236">
        <f>IF('DDR4 Config'!$H$1=1,'DDR4 Spec'!G63,IF('DDR4 Config'!$H$1=2,'DDR4 Spec'!R63,'DDR4 Spec'!Z63))</f>
        <v>0.93664650726676046</v>
      </c>
      <c r="H139" s="236">
        <f>IF('DDR4 Config'!$H$1=1,'DDR4 Spec'!H63,IF('DDR4 Config'!$H$1=2,'DDR4 Spec'!S63,'DDR4 Spec'!AA63))</f>
        <v>0.83333333333333337</v>
      </c>
      <c r="I139" s="236">
        <f>IF('DDR4 Config'!$H$1=1,'DDR4 Spec'!I63,IF('DDR4 Config'!$H$1=2,'DDR4 Spec'!T63,'DDR4 Spec'!AE63))</f>
        <v>0.83333333333333337</v>
      </c>
      <c r="J139" s="236">
        <f>IF('DDR4 Config'!$H$1=1,'DDR4 Spec'!J63,IF('DDR4 Config'!$H$1=2,'DDR4 Spec'!U63,'DDR4 Spec'!AF63))</f>
        <v>0.75018754688672173</v>
      </c>
      <c r="K139" s="236">
        <f>IF('DDR4 Config'!$H$1=1,'DDR4 Spec'!K63,IF('DDR4 Config'!$H$1=2,'DDR4 Spec'!V63,'DDR4 Spec'!AG63))</f>
        <v>0.75018754688672173</v>
      </c>
      <c r="L139" s="236">
        <f>IF('DDR4 Config'!$H$1=1,'DDR4 Spec'!L63,IF('DDR4 Config'!$H$1=2,'DDR4 Spec'!W63,'DDR4 Spec'!AH63))</f>
        <v>0.68189566996249573</v>
      </c>
      <c r="M139" s="236">
        <f>IF('DDR4 Config'!$H$1=1,'DDR4 Spec'!M63,IF('DDR4 Config'!$H$1=2,'DDR4 Spec'!X63,'DDR4 Spec'!AI63))</f>
        <v>0.68189566996249573</v>
      </c>
      <c r="N139" s="236">
        <f>IF('DDR4 Config'!$H$1=1,'DDR4 Spec'!N63,IF('DDR4 Config'!$H$1=2,'DDR4 Spec'!Y63,'DDR4 Spec'!AJ63))</f>
        <v>0.625</v>
      </c>
      <c r="O139" s="322">
        <f>HLOOKUP($O$81,$E$81:$N$140,59)</f>
        <v>0.75018754688672173</v>
      </c>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41"/>
    </row>
    <row r="140" spans="2:38" ht="18.75" hidden="1" customHeight="1">
      <c r="B140" s="62"/>
      <c r="C140" s="63"/>
      <c r="D140" s="80" t="s">
        <v>165</v>
      </c>
      <c r="E140" s="60">
        <f>IF('DDR4 Config'!$H$1=1,'DDR4 Spec'!E64,IF('DDR4 Config'!$H$1=2,'DDR4 Spec'!P64,'DDR4 Spec'!AA64))</f>
        <v>1.9</v>
      </c>
      <c r="F140" s="60">
        <f>IF('DDR4 Config'!$H$1=1,'DDR4 Spec'!F64,IF('DDR4 Config'!$H$1=2,'DDR4 Spec'!Q64,'DDR4 Spec'!Y64))</f>
        <v>1.9</v>
      </c>
      <c r="G140" s="60">
        <f>IF('DDR4 Config'!$H$1=1,'DDR4 Spec'!G64,IF('DDR4 Config'!$H$1=2,'DDR4 Spec'!R64,'DDR4 Spec'!Z64))</f>
        <v>1.9</v>
      </c>
      <c r="H140" s="60">
        <f>IF('DDR4 Config'!$H$1=1,'DDR4 Spec'!H64,IF('DDR4 Config'!$H$1=2,'DDR4 Spec'!S64,'DDR4 Spec'!AA64))</f>
        <v>1.9</v>
      </c>
      <c r="I140" s="60">
        <f>IF('DDR4 Config'!$H$1=1,'DDR4 Spec'!I64,IF('DDR4 Config'!$H$1=2,'DDR4 Spec'!T64,'DDR4 Spec'!AE64))</f>
        <v>1.9</v>
      </c>
      <c r="J140" s="60">
        <f>IF('DDR4 Config'!$H$1=1,'DDR4 Spec'!J64,IF('DDR4 Config'!$H$1=2,'DDR4 Spec'!U64,'DDR4 Spec'!AF64))</f>
        <v>1.9</v>
      </c>
      <c r="K140" s="60">
        <f>IF('DDR4 Config'!$H$1=1,'DDR4 Spec'!K64,IF('DDR4 Config'!$H$1=2,'DDR4 Spec'!V64,'DDR4 Spec'!AG64))</f>
        <v>1.9</v>
      </c>
      <c r="L140" s="60">
        <f>IF('DDR4 Config'!$H$1=1,'DDR4 Spec'!L64,IF('DDR4 Config'!$H$1=2,'DDR4 Spec'!W64,'DDR4 Spec'!AH64))</f>
        <v>1.9</v>
      </c>
      <c r="M140" s="60">
        <f>IF('DDR4 Config'!$H$1=1,'DDR4 Spec'!M64,IF('DDR4 Config'!$H$1=2,'DDR4 Spec'!X64,'DDR4 Spec'!AI64))</f>
        <v>1.9</v>
      </c>
      <c r="N140" s="60">
        <f>IF('DDR4 Config'!$H$1=1,'DDR4 Spec'!N64,IF('DDR4 Config'!$H$1=2,'DDR4 Spec'!Y64,'DDR4 Spec'!AJ64))</f>
        <v>1.9</v>
      </c>
      <c r="O140" s="322">
        <f>HLOOKUP($O$81,$E$81:$N$140,60)</f>
        <v>1.9</v>
      </c>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41"/>
    </row>
    <row r="141" spans="2:38" ht="18.75" hidden="1" customHeight="1" thickBot="1">
      <c r="B141" s="62"/>
      <c r="C141" s="63"/>
      <c r="D141" s="62"/>
      <c r="E141" s="62"/>
      <c r="F141" s="60"/>
      <c r="G141" s="60"/>
      <c r="H141" s="60"/>
      <c r="I141" s="60"/>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41"/>
    </row>
    <row r="142" spans="2:38" ht="18.75" hidden="1" customHeight="1">
      <c r="B142" s="64" t="s">
        <v>46</v>
      </c>
      <c r="C142" s="65" t="s">
        <v>47</v>
      </c>
      <c r="D142" s="62"/>
      <c r="E142" s="62"/>
      <c r="F142" s="60"/>
      <c r="G142" s="60"/>
      <c r="H142" s="60"/>
      <c r="I142" s="60"/>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41"/>
    </row>
    <row r="143" spans="2:38" ht="18.75" hidden="1" customHeight="1">
      <c r="B143" s="56"/>
      <c r="C143" s="57" t="s">
        <v>154</v>
      </c>
      <c r="D143" s="215">
        <f>O82</f>
        <v>1.26</v>
      </c>
      <c r="E143" s="62"/>
      <c r="F143" s="60"/>
      <c r="G143" s="60"/>
      <c r="H143" s="60"/>
      <c r="I143" s="60"/>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41"/>
    </row>
    <row r="144" spans="2:38" ht="18.75" hidden="1" customHeight="1">
      <c r="B144" s="56"/>
      <c r="C144" s="57" t="s">
        <v>155</v>
      </c>
      <c r="D144" s="215">
        <f>O83</f>
        <v>1.1399999999999999</v>
      </c>
      <c r="E144" s="62"/>
      <c r="F144" s="60"/>
      <c r="G144" s="60"/>
      <c r="H144" s="60"/>
      <c r="I144" s="60"/>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41"/>
    </row>
    <row r="145" spans="2:38" ht="18.75" hidden="1" customHeight="1">
      <c r="B145" s="56"/>
      <c r="C145" s="214" t="s">
        <v>265</v>
      </c>
      <c r="D145" s="215">
        <f>O84</f>
        <v>2.75</v>
      </c>
      <c r="E145" s="62"/>
      <c r="F145" s="60"/>
      <c r="G145" s="60"/>
      <c r="H145" s="60"/>
      <c r="I145" s="60"/>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41"/>
    </row>
    <row r="146" spans="2:38" ht="18.75" hidden="1" customHeight="1">
      <c r="B146" s="56"/>
      <c r="C146" s="214" t="s">
        <v>266</v>
      </c>
      <c r="D146" s="215">
        <f>O85</f>
        <v>2.375</v>
      </c>
      <c r="E146" s="62"/>
      <c r="F146" s="60"/>
      <c r="G146" s="60"/>
      <c r="H146" s="60"/>
      <c r="I146" s="60"/>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41"/>
    </row>
    <row r="147" spans="2:38" ht="18.75" hidden="1" customHeight="1">
      <c r="B147" s="56"/>
      <c r="C147" s="57"/>
      <c r="D147" s="215"/>
      <c r="E147" s="62"/>
      <c r="F147" s="60"/>
      <c r="G147" s="60"/>
      <c r="H147" s="60"/>
      <c r="I147" s="60"/>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41"/>
    </row>
    <row r="148" spans="2:38" ht="18.75" hidden="1" customHeight="1">
      <c r="B148" s="56" t="s">
        <v>142</v>
      </c>
      <c r="C148" s="57" t="s">
        <v>73</v>
      </c>
      <c r="D148" s="215">
        <f>IF('DDR4 Config'!L1=3,'DDR4 Spec'!O89,    IF('DDR4 Config'!L1=2, 'DDR4 Spec'!O88,      IF('DDR4 Config'!L1=1, 'DDR4 Spec'!O87,"error")          )             )</f>
        <v>51</v>
      </c>
      <c r="E148" s="62"/>
      <c r="F148" s="60"/>
      <c r="G148" s="60"/>
      <c r="H148" s="60"/>
      <c r="I148" s="60"/>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41"/>
    </row>
    <row r="149" spans="2:38" ht="18.75" hidden="1" customHeight="1">
      <c r="B149" s="213" t="s">
        <v>263</v>
      </c>
      <c r="C149" s="214" t="s">
        <v>299</v>
      </c>
      <c r="D149" s="216">
        <f>IF('DDR4 Config'!L1=3,'DDR4 Spec'!O92,    IF('DDR4 Config'!L1=2, 'DDR4 Spec'!O91,      IF('DDR4 Config'!L1=1, 'DDR4 Spec'!O90,"error")          )             )</f>
        <v>3</v>
      </c>
      <c r="E149" s="62"/>
      <c r="F149" s="60"/>
      <c r="G149" s="60"/>
      <c r="H149" s="60"/>
      <c r="I149" s="60"/>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41"/>
    </row>
    <row r="150" spans="2:38" ht="18.75" hidden="1" customHeight="1">
      <c r="B150" s="56" t="s">
        <v>143</v>
      </c>
      <c r="C150" s="57" t="s">
        <v>17</v>
      </c>
      <c r="D150" s="215">
        <f>IF('DDR4 Config'!L1=3,'DDR4 Spec'!O95,    IF('DDR4 Config'!L1=2, 'DDR4 Spec'!O94,      IF('DDR4 Config'!L1=1, 'DDR4 Spec'!O93,"error")          )             )</f>
        <v>25</v>
      </c>
      <c r="E150" s="62"/>
      <c r="F150" s="60"/>
      <c r="G150" s="60"/>
      <c r="H150" s="60"/>
      <c r="I150" s="60"/>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41"/>
    </row>
    <row r="151" spans="2:38" ht="18.75" hidden="1" customHeight="1">
      <c r="B151" s="56" t="s">
        <v>144</v>
      </c>
      <c r="C151" s="57" t="s">
        <v>18</v>
      </c>
      <c r="D151" s="215">
        <f>IF('DDR4 Config'!L1=3,'DDR4 Spec'!O98,    IF('DDR4 Config'!L1=2, 'DDR4 Spec'!O97,      IF('DDR4 Config'!L1=1, 'DDR4 Spec'!O96,"error")          )             )</f>
        <v>35</v>
      </c>
      <c r="E151" s="62"/>
      <c r="F151" s="60"/>
      <c r="G151" s="60"/>
      <c r="H151" s="60"/>
      <c r="I151" s="60"/>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41"/>
    </row>
    <row r="152" spans="2:38" ht="18.75" hidden="1" customHeight="1">
      <c r="B152" s="213"/>
      <c r="C152" s="214"/>
      <c r="D152" s="216"/>
      <c r="E152" s="62"/>
      <c r="F152" s="60"/>
      <c r="G152" s="60"/>
      <c r="H152" s="60"/>
      <c r="I152" s="60"/>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41"/>
    </row>
    <row r="153" spans="2:38" ht="18.75" hidden="1" customHeight="1">
      <c r="B153" s="213" t="s">
        <v>145</v>
      </c>
      <c r="C153" s="57" t="s">
        <v>19</v>
      </c>
      <c r="D153" s="215">
        <f>IF('DDR4 Config'!L1=3,'DDR4 Spec'!O101,    IF('DDR4 Config'!L1=2, 'DDR4 Spec'!O100,      IF('DDR4 Config'!L1=1, 'DDR4 Spec'!O99,"error")          )             )</f>
        <v>39</v>
      </c>
      <c r="E153" s="62"/>
      <c r="F153" s="60"/>
      <c r="G153" s="60"/>
      <c r="H153" s="60"/>
      <c r="I153" s="60"/>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41"/>
    </row>
    <row r="154" spans="2:38" ht="18.75" hidden="1" customHeight="1">
      <c r="B154" s="56" t="s">
        <v>146</v>
      </c>
      <c r="C154" s="57" t="s">
        <v>20</v>
      </c>
      <c r="D154" s="215">
        <f>IF('DDR4 Config'!L1=3,'DDR4 Spec'!O104,    IF('DDR4 Config'!L1=2, 'DDR4 Spec'!O103,      IF('DDR4 Config'!L1=1, 'DDR4 Spec'!O102,"error")          )             )</f>
        <v>46</v>
      </c>
      <c r="E154" s="62"/>
      <c r="F154" s="60"/>
      <c r="G154" s="60"/>
      <c r="H154" s="60"/>
      <c r="I154" s="60"/>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41"/>
    </row>
    <row r="155" spans="2:38" ht="18.75" hidden="1" customHeight="1">
      <c r="B155" s="213" t="s">
        <v>262</v>
      </c>
      <c r="C155" s="214" t="s">
        <v>300</v>
      </c>
      <c r="D155" s="215">
        <f>IF('DDR4 Config'!L1=3,'DDR4 Spec'!O107,    IF('DDR4 Config'!L1=2, 'DDR4 Spec'!O106,      IF('DDR4 Config'!L1=1, 'DDR4 Spec'!O105,"error")          )             )</f>
        <v>3</v>
      </c>
      <c r="E155" s="62"/>
      <c r="F155" s="60"/>
      <c r="G155" s="60"/>
      <c r="H155" s="60"/>
      <c r="I155" s="60"/>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41"/>
    </row>
    <row r="156" spans="2:38" ht="18.75" hidden="1" customHeight="1">
      <c r="B156" s="56" t="s">
        <v>147</v>
      </c>
      <c r="C156" s="57" t="s">
        <v>21</v>
      </c>
      <c r="D156" s="215">
        <f>IF('DDR4 Config'!L1=3,'DDR4 Spec'!O110,    IF('DDR4 Config'!L1=2, 'DDR4 Spec'!O109,      IF('DDR4 Config'!L1=1, 'DDR4 Spec'!O108,"error")          )             )</f>
        <v>146</v>
      </c>
      <c r="E156" s="62"/>
      <c r="F156" s="60"/>
      <c r="G156" s="60"/>
      <c r="H156" s="60"/>
      <c r="I156" s="60"/>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41"/>
    </row>
    <row r="157" spans="2:38" ht="18.75" hidden="1" customHeight="1">
      <c r="B157" s="213" t="s">
        <v>392</v>
      </c>
      <c r="C157" s="57" t="s">
        <v>21</v>
      </c>
      <c r="D157" s="215">
        <f>IF('DDR4 Config'!L1=3,'DDR4 Spec'!O113,    IF('DDR4 Config'!L1=2, 'DDR4 Spec'!O112,      IF('DDR4 Config'!L1=1, 'DDR4 Spec'!O111,"error")          )             )</f>
        <v>3</v>
      </c>
      <c r="E157" s="62"/>
      <c r="F157" s="60"/>
      <c r="G157" s="60"/>
      <c r="H157" s="60"/>
      <c r="I157" s="60"/>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41"/>
    </row>
    <row r="158" spans="2:38" ht="18.75" hidden="1" customHeight="1">
      <c r="B158" s="213" t="s">
        <v>148</v>
      </c>
      <c r="C158" s="57" t="s">
        <v>22</v>
      </c>
      <c r="D158" s="215">
        <f>IF('DDR4 Config'!L1=3,'DDR4 Spec'!O116,    IF('DDR4 Config'!L1=2, 'DDR4 Spec'!O115,      IF('DDR4 Config'!L1=1, 'DDR4 Spec'!O114,"error")          )             )</f>
        <v>132</v>
      </c>
      <c r="E158" s="62"/>
      <c r="F158" s="60"/>
      <c r="G158" s="60"/>
      <c r="H158" s="60"/>
      <c r="I158" s="60"/>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41"/>
    </row>
    <row r="159" spans="2:38" ht="18.75" hidden="1" customHeight="1">
      <c r="B159" s="213" t="s">
        <v>391</v>
      </c>
      <c r="C159" s="57" t="s">
        <v>22</v>
      </c>
      <c r="D159" s="215">
        <f>IF('DDR4 Config'!L1=3,'DDR4 Spec'!O119,    IF('DDR4 Config'!L1=2, 'DDR4 Spec'!O118,      IF('DDR4 Config'!L1=1, 'DDR4 Spec'!O117,"error")          )             )</f>
        <v>3</v>
      </c>
      <c r="E159" s="62"/>
      <c r="F159" s="60"/>
      <c r="G159" s="60"/>
      <c r="H159" s="60"/>
      <c r="I159" s="60"/>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41"/>
    </row>
    <row r="160" spans="2:38" ht="18.75" hidden="1" customHeight="1">
      <c r="B160" s="213" t="s">
        <v>301</v>
      </c>
      <c r="C160" s="57" t="s">
        <v>27</v>
      </c>
      <c r="D160" s="215">
        <f>IF('DDR4 Config'!L1=3,'DDR4 Spec'!O122,    IF('DDR4 Config'!L1=2, 'DDR4 Spec'!O121,      IF('DDR4 Config'!L1=1, 'DDR4 Spec'!O120,"error")          )             )</f>
        <v>375.28571428571428</v>
      </c>
      <c r="E160" s="62"/>
      <c r="F160" s="60"/>
      <c r="G160" s="60"/>
      <c r="H160" s="60"/>
      <c r="I160" s="60"/>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41"/>
    </row>
    <row r="161" spans="2:38" ht="18.75" hidden="1" customHeight="1">
      <c r="B161" s="213" t="s">
        <v>302</v>
      </c>
      <c r="C161" s="214" t="s">
        <v>303</v>
      </c>
      <c r="D161" s="215">
        <f>IF('DDR4 Config'!L1=3,'DDR4 Spec'!O125,    IF('DDR4 Config'!L1=2, 'DDR4 Spec'!O124,      IF('DDR4 Config'!L1=1, 'DDR4 Spec'!O123,"error")          )             )</f>
        <v>47.571428571428569</v>
      </c>
      <c r="E161" s="62"/>
      <c r="F161" s="60"/>
      <c r="G161" s="60"/>
      <c r="H161" s="60"/>
      <c r="I161" s="60"/>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41"/>
    </row>
    <row r="162" spans="2:38" ht="18.75" hidden="1" customHeight="1">
      <c r="B162" s="56"/>
      <c r="C162" s="57"/>
      <c r="D162" s="215"/>
      <c r="E162" s="62"/>
      <c r="F162" s="60"/>
      <c r="G162" s="60"/>
      <c r="H162" s="60"/>
      <c r="I162" s="60"/>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41"/>
    </row>
    <row r="163" spans="2:38" ht="18.75" hidden="1" customHeight="1">
      <c r="B163" s="213" t="s">
        <v>247</v>
      </c>
      <c r="C163" s="61" t="s">
        <v>248</v>
      </c>
      <c r="D163" s="215">
        <f>O128</f>
        <v>0.75018754688672173</v>
      </c>
      <c r="E163" s="62"/>
      <c r="F163" s="60"/>
      <c r="G163" s="60"/>
      <c r="H163" s="60"/>
      <c r="I163" s="60"/>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41"/>
    </row>
    <row r="164" spans="2:38" ht="18.75" hidden="1" customHeight="1">
      <c r="B164" s="66" t="s">
        <v>249</v>
      </c>
      <c r="C164" s="214" t="s">
        <v>251</v>
      </c>
      <c r="D164" s="215">
        <f>IF('DDR4 Config'!L1=3,'DDR4 Spec'!O131,    IF('DDR4 Config'!L1=2, 'DDR4 Spec'!O130,      IF('DDR4 Config'!L1=1, 'DDR4 Spec'!O129,"error")          )             )</f>
        <v>3</v>
      </c>
      <c r="E164" s="62"/>
      <c r="F164" s="60"/>
      <c r="G164" s="60"/>
      <c r="H164" s="60"/>
      <c r="I164" s="60"/>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41"/>
    </row>
    <row r="165" spans="2:38" ht="18.75" hidden="1" customHeight="1">
      <c r="B165" s="66" t="s">
        <v>250</v>
      </c>
      <c r="C165" s="214" t="s">
        <v>252</v>
      </c>
      <c r="D165" s="215">
        <f>IF('DDR4 Config'!L1=3,'DDR4 Spec'!O134,    IF('DDR4 Config'!L1=2, 'DDR4 Spec'!O133,      IF('DDR4 Config'!L1=1, 'DDR4 Spec'!O132,"error")          )             )</f>
        <v>4.9000000000000004</v>
      </c>
      <c r="E165" s="62"/>
      <c r="F165" s="60"/>
      <c r="G165" s="60"/>
      <c r="H165" s="60"/>
      <c r="I165" s="60"/>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41"/>
    </row>
    <row r="166" spans="2:38" ht="18.75" hidden="1" customHeight="1">
      <c r="B166" s="66" t="s">
        <v>149</v>
      </c>
      <c r="C166" s="57" t="s">
        <v>1</v>
      </c>
      <c r="D166" s="215">
        <f t="shared" ref="D166:D171" si="31">O135</f>
        <v>46.16</v>
      </c>
      <c r="E166" s="62"/>
      <c r="F166" s="60"/>
      <c r="G166" s="60"/>
      <c r="H166" s="60"/>
      <c r="I166" s="60"/>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41"/>
    </row>
    <row r="167" spans="2:38" ht="18.75" hidden="1" customHeight="1">
      <c r="B167" s="66" t="s">
        <v>150</v>
      </c>
      <c r="C167" s="57" t="s">
        <v>26</v>
      </c>
      <c r="D167" s="215">
        <f t="shared" si="31"/>
        <v>32</v>
      </c>
      <c r="E167" s="62"/>
      <c r="F167" s="60"/>
      <c r="G167" s="60"/>
      <c r="H167" s="60"/>
      <c r="I167" s="60"/>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41"/>
    </row>
    <row r="168" spans="2:38" ht="18.75" hidden="1" customHeight="1">
      <c r="B168" s="66" t="s">
        <v>156</v>
      </c>
      <c r="C168" s="57" t="s">
        <v>80</v>
      </c>
      <c r="D168" s="215">
        <f t="shared" si="31"/>
        <v>350</v>
      </c>
      <c r="E168" s="62"/>
      <c r="F168" s="60"/>
      <c r="G168" s="60"/>
      <c r="H168" s="60"/>
      <c r="I168" s="60"/>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41"/>
    </row>
    <row r="169" spans="2:38" ht="18.75" hidden="1" customHeight="1">
      <c r="B169" s="66" t="s">
        <v>151</v>
      </c>
      <c r="C169" s="57" t="s">
        <v>81</v>
      </c>
      <c r="D169" s="215">
        <f t="shared" si="31"/>
        <v>7.8</v>
      </c>
      <c r="E169" s="62"/>
      <c r="F169" s="60"/>
      <c r="G169" s="60"/>
      <c r="H169" s="60"/>
      <c r="I169" s="60"/>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41"/>
    </row>
    <row r="170" spans="2:38" ht="18.75" hidden="1" customHeight="1">
      <c r="B170" s="56" t="s">
        <v>82</v>
      </c>
      <c r="C170" s="57" t="s">
        <v>152</v>
      </c>
      <c r="D170" s="215">
        <f t="shared" si="31"/>
        <v>0.75018754688672173</v>
      </c>
      <c r="E170" s="62"/>
      <c r="F170" s="60"/>
      <c r="G170" s="60"/>
      <c r="H170" s="60"/>
      <c r="I170" s="60"/>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41"/>
    </row>
    <row r="171" spans="2:38" ht="18.75" hidden="1" customHeight="1" thickBot="1">
      <c r="B171" s="67" t="s">
        <v>83</v>
      </c>
      <c r="C171" s="68" t="s">
        <v>153</v>
      </c>
      <c r="D171" s="215">
        <f t="shared" si="31"/>
        <v>1.9</v>
      </c>
      <c r="E171" s="62"/>
      <c r="F171" s="60"/>
      <c r="G171" s="60"/>
      <c r="H171" s="60"/>
      <c r="I171" s="60"/>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41"/>
    </row>
    <row r="172" spans="2:38" ht="18.75" hidden="1" customHeight="1">
      <c r="B172" s="62"/>
      <c r="C172" s="63"/>
      <c r="D172" s="62"/>
      <c r="E172" s="62"/>
      <c r="F172" s="60"/>
      <c r="G172" s="60"/>
      <c r="H172" s="60"/>
      <c r="I172" s="60"/>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41"/>
    </row>
    <row r="173" spans="2:38" ht="18.75" hidden="1" customHeight="1">
      <c r="B173" s="62"/>
      <c r="C173" s="63"/>
      <c r="D173" s="62"/>
      <c r="E173" s="62"/>
      <c r="F173" s="60"/>
      <c r="G173" s="60"/>
      <c r="H173" s="60"/>
      <c r="I173" s="60"/>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41"/>
    </row>
    <row r="174" spans="2:38" ht="18.75" hidden="1" customHeight="1">
      <c r="B174" s="62"/>
      <c r="C174" s="63"/>
      <c r="D174" s="62"/>
      <c r="E174" s="62"/>
      <c r="F174" s="60"/>
      <c r="G174" s="60"/>
      <c r="H174" s="60"/>
      <c r="I174" s="60"/>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41"/>
    </row>
    <row r="175" spans="2:38" ht="18.75" hidden="1" customHeight="1">
      <c r="B175" s="62" t="s">
        <v>133</v>
      </c>
      <c r="C175" s="63"/>
      <c r="D175" s="62"/>
      <c r="E175" s="62"/>
      <c r="F175" s="60"/>
      <c r="G175" s="60"/>
      <c r="H175" s="60"/>
      <c r="I175" s="60"/>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41"/>
    </row>
    <row r="176" spans="2:38" ht="18.75" hidden="1" customHeight="1">
      <c r="B176" s="41"/>
      <c r="C176" s="42"/>
      <c r="D176" s="41"/>
      <c r="E176" s="41"/>
      <c r="F176" s="43"/>
      <c r="G176" s="43"/>
      <c r="H176" s="43"/>
      <c r="I176" s="43"/>
      <c r="J176" s="43"/>
      <c r="K176" s="43"/>
      <c r="L176" s="43"/>
      <c r="M176" s="43"/>
      <c r="N176" s="43"/>
      <c r="O176" s="43"/>
      <c r="P176" s="43"/>
      <c r="Q176" s="43"/>
      <c r="R176" s="43"/>
      <c r="S176" s="43"/>
      <c r="T176" s="43"/>
      <c r="U176" s="43"/>
      <c r="V176" s="43"/>
      <c r="W176" s="43"/>
      <c r="X176" s="43"/>
      <c r="Y176" s="43"/>
      <c r="Z176" s="43"/>
      <c r="AA176" s="43"/>
      <c r="AB176" s="43"/>
      <c r="AC176" s="43"/>
      <c r="AD176" s="43"/>
      <c r="AE176" s="43"/>
      <c r="AF176" s="43"/>
      <c r="AG176" s="43"/>
      <c r="AH176" s="43"/>
      <c r="AI176" s="43"/>
      <c r="AJ176" s="43"/>
      <c r="AK176" s="43"/>
      <c r="AL176" s="41"/>
    </row>
    <row r="177" ht="18.75" customHeight="1"/>
    <row r="178" ht="18.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sheetData>
  <mergeCells count="70">
    <mergeCell ref="AA4:AJ4"/>
    <mergeCell ref="P4:Y4"/>
    <mergeCell ref="E4:N4"/>
    <mergeCell ref="D87:D89"/>
    <mergeCell ref="D90:D92"/>
    <mergeCell ref="B5:D5"/>
    <mergeCell ref="C7:D7"/>
    <mergeCell ref="C8:D8"/>
    <mergeCell ref="B11:D11"/>
    <mergeCell ref="C9:D9"/>
    <mergeCell ref="C10:D10"/>
    <mergeCell ref="C12:C14"/>
    <mergeCell ref="B21:B23"/>
    <mergeCell ref="B12:B14"/>
    <mergeCell ref="B18:B20"/>
    <mergeCell ref="B15:B17"/>
    <mergeCell ref="D93:D95"/>
    <mergeCell ref="C63:D63"/>
    <mergeCell ref="C64:D64"/>
    <mergeCell ref="C62:D62"/>
    <mergeCell ref="B79:AL79"/>
    <mergeCell ref="B75:B77"/>
    <mergeCell ref="C75:C77"/>
    <mergeCell ref="C59:D59"/>
    <mergeCell ref="C60:D60"/>
    <mergeCell ref="C61:D61"/>
    <mergeCell ref="B56:B58"/>
    <mergeCell ref="C52:D52"/>
    <mergeCell ref="C56:C58"/>
    <mergeCell ref="D120:D122"/>
    <mergeCell ref="D132:D134"/>
    <mergeCell ref="D96:D98"/>
    <mergeCell ref="D99:D101"/>
    <mergeCell ref="D102:D104"/>
    <mergeCell ref="D108:D110"/>
    <mergeCell ref="D129:D131"/>
    <mergeCell ref="D105:D107"/>
    <mergeCell ref="D123:D125"/>
    <mergeCell ref="D117:D119"/>
    <mergeCell ref="D111:D113"/>
    <mergeCell ref="D114:D116"/>
    <mergeCell ref="B24:B26"/>
    <mergeCell ref="B53:B55"/>
    <mergeCell ref="C53:C55"/>
    <mergeCell ref="B48:B50"/>
    <mergeCell ref="C48:C50"/>
    <mergeCell ref="C24:C26"/>
    <mergeCell ref="C33:C35"/>
    <mergeCell ref="C42:C44"/>
    <mergeCell ref="B27:B29"/>
    <mergeCell ref="B33:B35"/>
    <mergeCell ref="B30:B32"/>
    <mergeCell ref="C30:C32"/>
    <mergeCell ref="C45:C47"/>
    <mergeCell ref="C15:C17"/>
    <mergeCell ref="C18:C20"/>
    <mergeCell ref="C21:C23"/>
    <mergeCell ref="B72:B74"/>
    <mergeCell ref="C72:C74"/>
    <mergeCell ref="B66:B68"/>
    <mergeCell ref="C66:C68"/>
    <mergeCell ref="B69:B71"/>
    <mergeCell ref="C69:C71"/>
    <mergeCell ref="B36:B38"/>
    <mergeCell ref="C36:C38"/>
    <mergeCell ref="B39:B41"/>
    <mergeCell ref="C39:C41"/>
    <mergeCell ref="B42:B44"/>
    <mergeCell ref="B45:B47"/>
    <mergeCell ref="C27:C29"/>
  </mergeCells>
  <phoneticPr fontId="0" type="noConversion"/>
  <printOptions horizontalCentered="1"/>
  <pageMargins left="0.25" right="0.25" top="0.25" bottom="0.25" header="0.5" footer="0.5"/>
  <pageSetup scale="35"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sheetPr>
    <pageSetUpPr fitToPage="1"/>
  </sheetPr>
  <dimension ref="B1:Q45"/>
  <sheetViews>
    <sheetView showGridLines="0" topLeftCell="A4" zoomScaleNormal="100" workbookViewId="0">
      <selection activeCell="G17" sqref="G17"/>
    </sheetView>
  </sheetViews>
  <sheetFormatPr defaultColWidth="8.85546875" defaultRowHeight="12.75"/>
  <cols>
    <col min="1" max="1" width="1.85546875" customWidth="1"/>
    <col min="2" max="2" width="11" customWidth="1"/>
    <col min="3" max="3" width="59.28515625" customWidth="1"/>
    <col min="4" max="4" width="8.85546875" customWidth="1"/>
    <col min="5" max="5" width="7.85546875" customWidth="1"/>
    <col min="6" max="6" width="37.42578125" customWidth="1"/>
    <col min="7" max="7" width="8" customWidth="1"/>
    <col min="8" max="14" width="8" style="136" hidden="1" customWidth="1"/>
    <col min="15" max="15" width="8" style="136" customWidth="1"/>
    <col min="16" max="17" width="8" customWidth="1"/>
    <col min="18" max="21" width="7.7109375" customWidth="1"/>
    <col min="22" max="22" width="6.28515625" customWidth="1"/>
    <col min="23" max="24" width="4.5703125" customWidth="1"/>
    <col min="25" max="53" width="4" customWidth="1"/>
  </cols>
  <sheetData>
    <row r="1" spans="2:17" ht="18.75" customHeight="1">
      <c r="B1" s="27"/>
      <c r="H1" s="233">
        <v>2</v>
      </c>
      <c r="I1" s="228">
        <v>7</v>
      </c>
      <c r="J1" s="238" t="s">
        <v>191</v>
      </c>
      <c r="K1" s="241">
        <v>1</v>
      </c>
      <c r="L1" s="321">
        <f>N1</f>
        <v>2</v>
      </c>
      <c r="M1" s="320" t="s">
        <v>349</v>
      </c>
      <c r="N1" s="218">
        <v>2</v>
      </c>
      <c r="O1" s="137"/>
      <c r="P1" s="22"/>
      <c r="Q1" s="22"/>
    </row>
    <row r="2" spans="2:17" ht="28.5" customHeight="1">
      <c r="H2" s="251" t="s">
        <v>42</v>
      </c>
      <c r="I2" s="229" t="s">
        <v>43</v>
      </c>
      <c r="J2" s="251" t="s">
        <v>324</v>
      </c>
      <c r="K2" s="252" t="s">
        <v>324</v>
      </c>
      <c r="L2" s="219" t="s">
        <v>325</v>
      </c>
      <c r="M2" s="220" t="s">
        <v>85</v>
      </c>
      <c r="N2" s="221"/>
      <c r="O2" s="137"/>
      <c r="P2" s="22"/>
      <c r="Q2" s="22"/>
    </row>
    <row r="3" spans="2:17">
      <c r="H3" s="234" t="s">
        <v>170</v>
      </c>
      <c r="I3" s="230" t="str">
        <f>'DDR4 Spec'!E6</f>
        <v>-107E</v>
      </c>
      <c r="J3" s="239" t="s">
        <v>308</v>
      </c>
      <c r="K3" s="242">
        <v>1</v>
      </c>
      <c r="L3" s="222">
        <v>1</v>
      </c>
      <c r="M3" s="223" t="s">
        <v>87</v>
      </c>
      <c r="N3" s="224">
        <v>4</v>
      </c>
      <c r="O3" s="137"/>
      <c r="P3" s="22"/>
      <c r="Q3" s="22"/>
    </row>
    <row r="4" spans="2:17">
      <c r="H4" s="234" t="s">
        <v>230</v>
      </c>
      <c r="I4" s="231" t="str">
        <f>'DDR4 Spec'!F6</f>
        <v>-093</v>
      </c>
      <c r="J4" s="239" t="s">
        <v>309</v>
      </c>
      <c r="K4" s="242">
        <v>2</v>
      </c>
      <c r="L4" s="222">
        <v>1</v>
      </c>
      <c r="M4" s="223" t="s">
        <v>88</v>
      </c>
      <c r="N4" s="224">
        <v>8</v>
      </c>
      <c r="O4" s="137"/>
      <c r="P4" s="22"/>
      <c r="Q4" s="22"/>
    </row>
    <row r="5" spans="2:17" ht="23.25">
      <c r="B5" s="399" t="s">
        <v>255</v>
      </c>
      <c r="C5" s="400"/>
      <c r="D5" s="400"/>
      <c r="E5" s="400"/>
      <c r="F5" s="34"/>
      <c r="G5" s="34"/>
      <c r="H5" s="235" t="s">
        <v>231</v>
      </c>
      <c r="I5" s="231" t="str">
        <f>'DDR4 Spec'!G6</f>
        <v>-093E</v>
      </c>
      <c r="J5" s="240"/>
      <c r="K5" s="243"/>
      <c r="L5" s="225">
        <v>2</v>
      </c>
      <c r="M5" s="226" t="s">
        <v>86</v>
      </c>
      <c r="N5" s="227">
        <v>16</v>
      </c>
      <c r="O5" s="137"/>
      <c r="P5" s="22"/>
      <c r="Q5" s="22"/>
    </row>
    <row r="6" spans="2:17" ht="23.25" customHeight="1" thickBot="1">
      <c r="B6" s="18"/>
      <c r="C6" s="18"/>
      <c r="D6" s="18"/>
      <c r="E6" s="18"/>
      <c r="H6" s="136" t="s">
        <v>191</v>
      </c>
      <c r="I6" s="230" t="str">
        <f>'DDR4 Spec'!H6</f>
        <v>-083</v>
      </c>
    </row>
    <row r="7" spans="2:17" ht="18.75" customHeight="1" thickBot="1">
      <c r="B7" s="18"/>
      <c r="C7" s="81" t="s">
        <v>48</v>
      </c>
      <c r="D7" s="36" t="str">
        <f>INDEX(H3:H5,H1)</f>
        <v>8Gb</v>
      </c>
      <c r="E7" s="7"/>
      <c r="I7" s="230" t="str">
        <f>'DDR4 Spec'!I6</f>
        <v>-083E</v>
      </c>
    </row>
    <row r="8" spans="2:17" ht="18.75" customHeight="1">
      <c r="B8" s="317" t="s">
        <v>348</v>
      </c>
      <c r="C8" s="82" t="s">
        <v>243</v>
      </c>
      <c r="D8" s="31">
        <f>INDEX(N3:N5,N1)</f>
        <v>8</v>
      </c>
      <c r="E8" s="8"/>
      <c r="I8" s="231" t="str">
        <f>'DDR4 Spec'!J6</f>
        <v>-075</v>
      </c>
    </row>
    <row r="9" spans="2:17" ht="18.75" customHeight="1" thickBot="1">
      <c r="B9" s="318">
        <f xml:space="preserve">    IF('DDR4 Config'!D9 = "-107E", 1866, IF('DDR4 Config'!D9 = "-093", 2133, IF('DDR4 Config'!D9 = "-093E", 2133, IF('DDR4 Config'!D9 = "-083", 2400, IF('DDR4 Config'!D9 = "-083E", 2400, IF('DDR4 Config'!D9 = "-075", 2666, IF('DDR4 Config'!D9 = "-075E", 2666, IF('DDR4 Config'!D9 = "-068", 2933, IF('DDR4 Config'!D9 = "-068E",2933, IF('DDR4 Config'!D9 = "-062E", 3200, 0))))))))))</f>
        <v>2666</v>
      </c>
      <c r="C9" s="82" t="s">
        <v>43</v>
      </c>
      <c r="D9" s="35" t="str">
        <f>INDEX(I3:I12,I1)</f>
        <v>-075E</v>
      </c>
      <c r="E9" s="8"/>
      <c r="I9" s="231" t="str">
        <f>'DDR4 Spec'!K6</f>
        <v>-075E</v>
      </c>
    </row>
    <row r="10" spans="2:17" ht="18.75" customHeight="1" thickBot="1">
      <c r="B10" s="18"/>
      <c r="C10" s="314" t="s">
        <v>310</v>
      </c>
      <c r="D10" s="315">
        <f>INDEX(K3:K5,K1)</f>
        <v>1</v>
      </c>
      <c r="E10" s="316"/>
      <c r="I10" s="231" t="str">
        <f>'DDR4 Spec'!L6</f>
        <v>-068</v>
      </c>
    </row>
    <row r="11" spans="2:17">
      <c r="B11" s="18"/>
      <c r="C11" s="37"/>
      <c r="D11" s="38"/>
      <c r="E11" s="37"/>
      <c r="I11" s="231" t="str">
        <f>'DDR4 Spec'!M6</f>
        <v>-068E</v>
      </c>
    </row>
    <row r="12" spans="2:17">
      <c r="B12" s="18"/>
      <c r="C12" s="2"/>
      <c r="D12" s="2"/>
      <c r="E12" s="2"/>
      <c r="I12" s="232" t="str">
        <f>'DDR4 Spec'!N6</f>
        <v>-062E</v>
      </c>
    </row>
    <row r="13" spans="2:17" ht="13.5" thickBot="1">
      <c r="B13" s="18"/>
      <c r="C13" s="18"/>
      <c r="D13" s="19"/>
      <c r="E13" s="18"/>
      <c r="I13" s="139" t="s">
        <v>191</v>
      </c>
    </row>
    <row r="14" spans="2:17" ht="15.95" customHeight="1">
      <c r="B14" s="83" t="s">
        <v>46</v>
      </c>
      <c r="C14" s="84" t="s">
        <v>47</v>
      </c>
      <c r="D14" s="85" t="s">
        <v>44</v>
      </c>
      <c r="E14" s="86" t="s">
        <v>45</v>
      </c>
      <c r="I14" s="139" t="s">
        <v>191</v>
      </c>
    </row>
    <row r="15" spans="2:17" ht="14.25">
      <c r="B15" s="58"/>
      <c r="C15" s="59" t="s">
        <v>181</v>
      </c>
      <c r="D15" s="87">
        <f>'DDR4 Spec'!D143</f>
        <v>1.26</v>
      </c>
      <c r="E15" s="94" t="s">
        <v>10</v>
      </c>
      <c r="F15" s="1"/>
      <c r="G15" s="1"/>
      <c r="H15" s="138"/>
    </row>
    <row r="16" spans="2:17" ht="14.25">
      <c r="B16" s="58"/>
      <c r="C16" s="59" t="s">
        <v>182</v>
      </c>
      <c r="D16" s="87">
        <f>'DDR4 Spec'!D144</f>
        <v>1.1399999999999999</v>
      </c>
      <c r="E16" s="94" t="s">
        <v>10</v>
      </c>
      <c r="F16" s="1"/>
      <c r="G16" s="1"/>
      <c r="H16" s="138"/>
    </row>
    <row r="17" spans="2:12" ht="14.25">
      <c r="B17" s="58"/>
      <c r="C17" s="59" t="s">
        <v>260</v>
      </c>
      <c r="D17" s="87">
        <f>'DDR4 Spec'!D145</f>
        <v>2.75</v>
      </c>
      <c r="E17" s="94" t="s">
        <v>10</v>
      </c>
      <c r="F17" s="1"/>
      <c r="G17" s="1"/>
      <c r="H17" s="138"/>
    </row>
    <row r="18" spans="2:12" ht="14.25">
      <c r="B18" s="58"/>
      <c r="C18" s="59" t="s">
        <v>259</v>
      </c>
      <c r="D18" s="87">
        <f>'DDR4 Spec'!D146</f>
        <v>2.375</v>
      </c>
      <c r="E18" s="94" t="s">
        <v>10</v>
      </c>
      <c r="F18" s="1"/>
      <c r="G18" s="1"/>
      <c r="H18" s="138"/>
    </row>
    <row r="19" spans="2:12" ht="14.25">
      <c r="B19" s="58"/>
      <c r="C19" s="59"/>
      <c r="D19" s="87"/>
      <c r="E19" s="94"/>
      <c r="F19" s="1"/>
      <c r="G19" s="1"/>
      <c r="H19" s="138"/>
    </row>
    <row r="20" spans="2:12" ht="14.25">
      <c r="B20" s="58"/>
      <c r="C20" s="59" t="s">
        <v>134</v>
      </c>
      <c r="D20" s="88">
        <f>2*INDEX(L3:L5,L1)</f>
        <v>2</v>
      </c>
      <c r="E20" s="94"/>
      <c r="F20" s="1"/>
      <c r="G20" s="1"/>
      <c r="H20" s="138"/>
    </row>
    <row r="21" spans="2:12" ht="14.25">
      <c r="B21" s="58"/>
      <c r="C21" s="59" t="s">
        <v>135</v>
      </c>
      <c r="D21" s="89">
        <f>INDEX(L3:L5,L1)</f>
        <v>1</v>
      </c>
      <c r="E21" s="94"/>
      <c r="F21" s="1"/>
      <c r="G21" s="1"/>
      <c r="H21" s="138"/>
      <c r="L21" s="139" t="s">
        <v>191</v>
      </c>
    </row>
    <row r="22" spans="2:12" ht="14.25">
      <c r="B22" s="58"/>
      <c r="C22" s="59"/>
      <c r="D22" s="87"/>
      <c r="E22" s="94"/>
      <c r="F22" s="1"/>
      <c r="G22" s="1"/>
      <c r="H22" s="138"/>
    </row>
    <row r="23" spans="2:12" ht="14.25">
      <c r="B23" s="58" t="s">
        <v>172</v>
      </c>
      <c r="C23" s="59" t="s">
        <v>283</v>
      </c>
      <c r="D23" s="87">
        <f>'DDR4 Spec'!D148</f>
        <v>51</v>
      </c>
      <c r="E23" s="94" t="s">
        <v>11</v>
      </c>
    </row>
    <row r="24" spans="2:12" ht="14.25">
      <c r="B24" s="58" t="s">
        <v>237</v>
      </c>
      <c r="C24" s="59" t="s">
        <v>284</v>
      </c>
      <c r="D24" s="365">
        <f>'DDR4 Spec'!D149</f>
        <v>3</v>
      </c>
      <c r="E24" s="94" t="s">
        <v>11</v>
      </c>
    </row>
    <row r="25" spans="2:12" ht="14.25">
      <c r="B25" s="58" t="s">
        <v>183</v>
      </c>
      <c r="C25" s="59" t="s">
        <v>124</v>
      </c>
      <c r="D25" s="87">
        <f>'DDR4 Spec'!D150</f>
        <v>25</v>
      </c>
      <c r="E25" s="94" t="s">
        <v>11</v>
      </c>
    </row>
    <row r="26" spans="2:12" ht="14.25">
      <c r="B26" s="58" t="s">
        <v>173</v>
      </c>
      <c r="C26" s="59" t="s">
        <v>125</v>
      </c>
      <c r="D26" s="87">
        <f>'DDR4 Spec'!D151</f>
        <v>35</v>
      </c>
      <c r="E26" s="94" t="s">
        <v>11</v>
      </c>
    </row>
    <row r="27" spans="2:12" ht="14.25">
      <c r="B27" s="58" t="s">
        <v>174</v>
      </c>
      <c r="C27" s="59" t="s">
        <v>126</v>
      </c>
      <c r="D27" s="87">
        <f>'DDR4 Spec'!D153</f>
        <v>39</v>
      </c>
      <c r="E27" s="94" t="s">
        <v>11</v>
      </c>
      <c r="F27" s="26"/>
      <c r="G27" s="26"/>
    </row>
    <row r="28" spans="2:12" ht="14.25">
      <c r="B28" s="58" t="s">
        <v>175</v>
      </c>
      <c r="C28" s="59" t="s">
        <v>127</v>
      </c>
      <c r="D28" s="87">
        <f>'DDR4 Spec'!D154</f>
        <v>46</v>
      </c>
      <c r="E28" s="94" t="s">
        <v>11</v>
      </c>
    </row>
    <row r="29" spans="2:12" ht="14.25">
      <c r="B29" s="58" t="s">
        <v>261</v>
      </c>
      <c r="C29" s="59" t="s">
        <v>306</v>
      </c>
      <c r="D29" s="365">
        <f>'DDR4 Spec'!D155</f>
        <v>3</v>
      </c>
      <c r="E29" s="94" t="s">
        <v>11</v>
      </c>
    </row>
    <row r="30" spans="2:12" ht="14.25">
      <c r="B30" s="58" t="s">
        <v>176</v>
      </c>
      <c r="C30" s="59" t="s">
        <v>128</v>
      </c>
      <c r="D30" s="87">
        <f>'DDR4 Spec'!D156</f>
        <v>146</v>
      </c>
      <c r="E30" s="94" t="s">
        <v>11</v>
      </c>
    </row>
    <row r="31" spans="2:12" ht="14.25">
      <c r="B31" s="58" t="s">
        <v>389</v>
      </c>
      <c r="C31" s="59" t="s">
        <v>393</v>
      </c>
      <c r="D31" s="87">
        <f>'DDR4 Spec'!D157</f>
        <v>3</v>
      </c>
      <c r="E31" s="94"/>
    </row>
    <row r="32" spans="2:12" ht="14.25">
      <c r="B32" s="58" t="s">
        <v>177</v>
      </c>
      <c r="C32" s="59" t="s">
        <v>129</v>
      </c>
      <c r="D32" s="87">
        <f>'DDR4 Spec'!D158</f>
        <v>132</v>
      </c>
      <c r="E32" s="94" t="s">
        <v>11</v>
      </c>
    </row>
    <row r="33" spans="2:5" ht="14.25">
      <c r="B33" s="58" t="s">
        <v>390</v>
      </c>
      <c r="C33" s="59" t="s">
        <v>394</v>
      </c>
      <c r="D33" s="87">
        <f>'DDR4 Spec'!D159</f>
        <v>3</v>
      </c>
      <c r="E33" s="94"/>
    </row>
    <row r="34" spans="2:5" ht="14.25">
      <c r="B34" s="58" t="s">
        <v>304</v>
      </c>
      <c r="C34" s="59" t="s">
        <v>130</v>
      </c>
      <c r="D34" s="361">
        <f>'DDR4 Spec'!D160</f>
        <v>375.28571428571428</v>
      </c>
      <c r="E34" s="94" t="s">
        <v>11</v>
      </c>
    </row>
    <row r="35" spans="2:5" ht="14.25">
      <c r="B35" s="58" t="s">
        <v>305</v>
      </c>
      <c r="C35" s="59" t="s">
        <v>307</v>
      </c>
      <c r="D35" s="361">
        <f>'DDR4 Spec'!D161</f>
        <v>47.571428571428569</v>
      </c>
      <c r="E35" s="94" t="s">
        <v>11</v>
      </c>
    </row>
    <row r="36" spans="2:5" ht="14.25">
      <c r="B36" s="58"/>
      <c r="C36" s="59"/>
      <c r="D36" s="89"/>
      <c r="E36" s="94"/>
    </row>
    <row r="37" spans="2:5" ht="16.5">
      <c r="B37" s="58" t="s">
        <v>247</v>
      </c>
      <c r="C37" s="80" t="s">
        <v>157</v>
      </c>
      <c r="D37" s="237">
        <f>'DDR4 Spec'!D163</f>
        <v>0.75018754688672173</v>
      </c>
      <c r="E37" s="94" t="s">
        <v>31</v>
      </c>
    </row>
    <row r="38" spans="2:5" ht="16.5">
      <c r="B38" s="90" t="s">
        <v>253</v>
      </c>
      <c r="C38" s="59" t="s">
        <v>251</v>
      </c>
      <c r="D38" s="87">
        <f>'DDR4 Spec'!D164</f>
        <v>3</v>
      </c>
      <c r="E38" s="94" t="s">
        <v>31</v>
      </c>
    </row>
    <row r="39" spans="2:5" ht="16.5">
      <c r="B39" s="90" t="s">
        <v>241</v>
      </c>
      <c r="C39" s="59" t="s">
        <v>252</v>
      </c>
      <c r="D39" s="87">
        <f>'DDR4 Spec'!D165</f>
        <v>4.9000000000000004</v>
      </c>
      <c r="E39" s="94" t="s">
        <v>31</v>
      </c>
    </row>
    <row r="40" spans="2:5" ht="16.5">
      <c r="B40" s="90" t="s">
        <v>158</v>
      </c>
      <c r="C40" s="59" t="s">
        <v>131</v>
      </c>
      <c r="D40" s="87">
        <f>'DDR4 Spec'!D166</f>
        <v>46.16</v>
      </c>
      <c r="E40" s="94" t="s">
        <v>31</v>
      </c>
    </row>
    <row r="41" spans="2:5" ht="16.5">
      <c r="B41" s="90" t="s">
        <v>159</v>
      </c>
      <c r="C41" s="80" t="s">
        <v>185</v>
      </c>
      <c r="D41" s="365">
        <f>'DDR4 Spec'!D167</f>
        <v>32</v>
      </c>
      <c r="E41" s="94" t="s">
        <v>31</v>
      </c>
    </row>
    <row r="42" spans="2:5" ht="16.5">
      <c r="B42" s="90" t="s">
        <v>161</v>
      </c>
      <c r="C42" s="59" t="s">
        <v>132</v>
      </c>
      <c r="D42" s="87">
        <f>'DDR4 Spec'!D168</f>
        <v>350</v>
      </c>
      <c r="E42" s="94" t="s">
        <v>31</v>
      </c>
    </row>
    <row r="43" spans="2:5" ht="16.5">
      <c r="B43" s="90" t="s">
        <v>162</v>
      </c>
      <c r="C43" s="59" t="s">
        <v>81</v>
      </c>
      <c r="D43" s="87">
        <f>'DDR4 Spec'!D169</f>
        <v>7.8</v>
      </c>
      <c r="E43" s="94" t="s">
        <v>168</v>
      </c>
    </row>
    <row r="44" spans="2:5" ht="16.5">
      <c r="B44" s="90" t="s">
        <v>178</v>
      </c>
      <c r="C44" s="59" t="s">
        <v>164</v>
      </c>
      <c r="D44" s="237">
        <f>'DDR4 Spec'!D170</f>
        <v>0.75018754688672173</v>
      </c>
      <c r="E44" s="94" t="s">
        <v>31</v>
      </c>
    </row>
    <row r="45" spans="2:5" ht="17.25" thickBot="1">
      <c r="B45" s="91" t="s">
        <v>184</v>
      </c>
      <c r="C45" s="92" t="s">
        <v>166</v>
      </c>
      <c r="D45" s="93">
        <f>'DDR4 Spec'!D171</f>
        <v>1.9</v>
      </c>
      <c r="E45" s="95" t="s">
        <v>31</v>
      </c>
    </row>
  </sheetData>
  <sheetProtection selectLockedCells="1" selectUnlockedCells="1"/>
  <protectedRanges>
    <protectedRange sqref="D15:D45" name="Range1"/>
  </protectedRanges>
  <mergeCells count="1">
    <mergeCell ref="B5:E5"/>
  </mergeCells>
  <phoneticPr fontId="0" type="noConversion"/>
  <printOptions horizontalCentered="1"/>
  <pageMargins left="0.25" right="0.25" top="0.25" bottom="0.25" header="0.5" footer="0.5"/>
  <pageSetup scale="90"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sheetPr>
    <pageSetUpPr fitToPage="1"/>
  </sheetPr>
  <dimension ref="A1:BA54"/>
  <sheetViews>
    <sheetView showGridLines="0" topLeftCell="E1" zoomScaleNormal="100" workbookViewId="0">
      <selection activeCell="N29" sqref="N29"/>
    </sheetView>
  </sheetViews>
  <sheetFormatPr defaultRowHeight="12.75"/>
  <cols>
    <col min="1" max="1" width="0.42578125" style="141" hidden="1" customWidth="1"/>
    <col min="2" max="3" width="0.85546875" style="141" hidden="1" customWidth="1"/>
    <col min="4" max="4" width="2" style="141" hidden="1" customWidth="1"/>
    <col min="5" max="5" width="5.5703125" style="141" customWidth="1"/>
    <col min="6" max="6" width="12.85546875" style="141" customWidth="1"/>
    <col min="7" max="7" width="15.42578125" style="196" customWidth="1"/>
    <col min="8" max="8" width="46.140625" style="141" customWidth="1"/>
    <col min="9" max="9" width="19.42578125" style="141" bestFit="1" customWidth="1"/>
    <col min="10" max="10" width="5.85546875" style="197" customWidth="1"/>
    <col min="11" max="11" width="40.28515625" style="141" customWidth="1"/>
    <col min="12" max="12" width="0.85546875" style="198" customWidth="1"/>
    <col min="13" max="13" width="4.140625" style="141" customWidth="1"/>
    <col min="14" max="14" width="10.140625" style="141" customWidth="1"/>
    <col min="15" max="15" width="7" style="141" customWidth="1"/>
    <col min="16" max="16" width="9.7109375" style="141" customWidth="1"/>
    <col min="17" max="17" width="10.140625" style="141" customWidth="1"/>
    <col min="18" max="18" width="9.7109375" style="141" customWidth="1"/>
    <col min="19" max="19" width="10.140625" style="141" customWidth="1"/>
    <col min="20" max="20" width="5.28515625" style="141" customWidth="1"/>
    <col min="21" max="21" width="4.85546875" style="141" customWidth="1"/>
    <col min="22" max="22" width="10.140625" style="141" customWidth="1"/>
    <col min="23" max="23" width="7" style="141" customWidth="1"/>
    <col min="24" max="24" width="10.85546875" style="141" customWidth="1"/>
    <col min="25" max="25" width="10.140625" style="141" customWidth="1"/>
    <col min="26" max="26" width="11.42578125" style="141" customWidth="1"/>
    <col min="27" max="27" width="10.140625" style="141" customWidth="1"/>
    <col min="28" max="28" width="4.85546875" style="141" customWidth="1"/>
    <col min="29" max="29" width="7.5703125" style="141" hidden="1" customWidth="1"/>
    <col min="30" max="31" width="11" style="141" hidden="1" customWidth="1"/>
    <col min="32" max="32" width="3.5703125" style="141" hidden="1" customWidth="1"/>
    <col min="33" max="34" width="11" style="141" hidden="1" customWidth="1"/>
    <col min="35" max="35" width="4" style="141" hidden="1" customWidth="1"/>
    <col min="36" max="43" width="11" style="141" hidden="1" customWidth="1"/>
    <col min="44" max="46" width="5.85546875" style="141" customWidth="1"/>
    <col min="47" max="47" width="5.85546875" style="141" hidden="1" customWidth="1"/>
    <col min="48" max="51" width="5.85546875" style="197" hidden="1" customWidth="1"/>
    <col min="52" max="53" width="5.85546875" style="141" hidden="1" customWidth="1"/>
    <col min="54" max="16384" width="9.140625" style="141"/>
  </cols>
  <sheetData>
    <row r="1" spans="5:51">
      <c r="H1" s="28"/>
      <c r="I1" s="329" t="s">
        <v>191</v>
      </c>
      <c r="J1" s="197" t="s">
        <v>191</v>
      </c>
      <c r="K1" s="328" t="s">
        <v>191</v>
      </c>
      <c r="AV1" s="217">
        <v>1</v>
      </c>
      <c r="AW1" s="217">
        <v>3</v>
      </c>
      <c r="AX1" s="217">
        <v>1</v>
      </c>
      <c r="AY1" s="217">
        <v>3</v>
      </c>
    </row>
    <row r="2" spans="5:51">
      <c r="H2" s="327" t="s">
        <v>191</v>
      </c>
      <c r="I2" s="327" t="s">
        <v>191</v>
      </c>
      <c r="J2" s="197" t="s">
        <v>191</v>
      </c>
      <c r="K2" s="328" t="s">
        <v>191</v>
      </c>
      <c r="V2" s="141" t="s">
        <v>191</v>
      </c>
      <c r="AV2" s="217" t="s">
        <v>323</v>
      </c>
      <c r="AW2" s="217" t="s">
        <v>326</v>
      </c>
      <c r="AX2" s="217" t="s">
        <v>322</v>
      </c>
      <c r="AY2" s="217" t="s">
        <v>327</v>
      </c>
    </row>
    <row r="3" spans="5:51" ht="13.5" thickBot="1">
      <c r="I3" s="141" t="s">
        <v>191</v>
      </c>
      <c r="AV3" s="123">
        <v>34</v>
      </c>
      <c r="AW3" s="217">
        <v>34</v>
      </c>
      <c r="AX3" s="217">
        <v>80</v>
      </c>
      <c r="AY3" s="217">
        <v>34</v>
      </c>
    </row>
    <row r="4" spans="5:51" s="147" customFormat="1" ht="21.75" customHeight="1" thickBot="1">
      <c r="G4" s="146"/>
      <c r="J4" s="148"/>
      <c r="L4" s="149"/>
      <c r="M4" s="407" t="s">
        <v>213</v>
      </c>
      <c r="N4" s="408"/>
      <c r="O4" s="408"/>
      <c r="P4" s="408"/>
      <c r="Q4" s="408"/>
      <c r="R4" s="408"/>
      <c r="S4" s="408"/>
      <c r="T4" s="409"/>
      <c r="U4" s="407" t="s">
        <v>214</v>
      </c>
      <c r="V4" s="410"/>
      <c r="W4" s="410"/>
      <c r="X4" s="410"/>
      <c r="Y4" s="410"/>
      <c r="Z4" s="410"/>
      <c r="AA4" s="410"/>
      <c r="AB4" s="411"/>
      <c r="AV4" s="123">
        <v>48</v>
      </c>
      <c r="AW4" s="217">
        <v>40</v>
      </c>
      <c r="AX4" s="217">
        <v>120</v>
      </c>
      <c r="AY4" s="217">
        <v>40</v>
      </c>
    </row>
    <row r="5" spans="5:51" ht="23.25">
      <c r="G5" s="130"/>
      <c r="H5" s="131" t="s">
        <v>16</v>
      </c>
      <c r="I5" s="132"/>
      <c r="J5" s="132"/>
      <c r="K5" s="132"/>
      <c r="M5" s="199"/>
      <c r="N5" s="200"/>
      <c r="O5" s="200"/>
      <c r="P5" s="200"/>
      <c r="Q5" s="200"/>
      <c r="R5" s="200"/>
      <c r="S5" s="200"/>
      <c r="T5" s="201"/>
      <c r="U5" s="199"/>
      <c r="V5" s="143"/>
      <c r="W5" s="143"/>
      <c r="X5" s="143"/>
      <c r="Y5" s="143"/>
      <c r="Z5" s="143"/>
      <c r="AA5" s="143"/>
      <c r="AB5" s="202"/>
      <c r="AV5" s="217" t="s">
        <v>191</v>
      </c>
      <c r="AW5" s="217">
        <v>48</v>
      </c>
      <c r="AX5" s="217">
        <v>240</v>
      </c>
      <c r="AY5" s="217">
        <v>48</v>
      </c>
    </row>
    <row r="6" spans="5:51" ht="12.6" customHeight="1" thickBot="1">
      <c r="G6" s="130"/>
      <c r="H6" s="131"/>
      <c r="I6" s="132"/>
      <c r="J6" s="132"/>
      <c r="K6" s="132"/>
      <c r="L6" s="141"/>
      <c r="M6" s="203"/>
      <c r="N6" s="143"/>
      <c r="O6" s="143"/>
      <c r="P6" s="143"/>
      <c r="Q6" s="143"/>
      <c r="R6" s="143"/>
      <c r="S6" s="143"/>
      <c r="T6" s="202"/>
      <c r="U6" s="203"/>
      <c r="V6" s="143"/>
      <c r="W6" s="143"/>
      <c r="X6" s="143"/>
      <c r="Y6" s="143"/>
      <c r="Z6" s="143"/>
      <c r="AA6" s="143"/>
      <c r="AB6" s="202"/>
      <c r="AV6" s="217" t="s">
        <v>191</v>
      </c>
      <c r="AW6" s="217">
        <v>60</v>
      </c>
      <c r="AX6" s="217" t="s">
        <v>191</v>
      </c>
      <c r="AY6" s="217">
        <v>60</v>
      </c>
    </row>
    <row r="7" spans="5:51" ht="15.75" thickBot="1">
      <c r="H7" s="96" t="s">
        <v>187</v>
      </c>
      <c r="I7" s="254">
        <v>1.2</v>
      </c>
      <c r="J7" s="97" t="s">
        <v>10</v>
      </c>
      <c r="K7" s="98" t="str">
        <f>IF(I7&lt;'DDR4 Config'!D16,"ERROR, VCC too Low",IF(I7&gt;'DDR4 Config'!D15,"ERROR, VCC too High",""))</f>
        <v/>
      </c>
      <c r="L7" s="141"/>
      <c r="M7" s="203"/>
      <c r="N7" s="143"/>
      <c r="O7" s="143"/>
      <c r="P7" s="143"/>
      <c r="Q7" s="143"/>
      <c r="R7" s="143"/>
      <c r="S7" s="143"/>
      <c r="T7" s="202"/>
      <c r="U7" s="203"/>
      <c r="V7" s="143"/>
      <c r="W7" s="143"/>
      <c r="X7" s="143"/>
      <c r="Y7" s="143"/>
      <c r="Z7" s="143"/>
      <c r="AA7" s="143"/>
      <c r="AB7" s="202"/>
      <c r="AV7" s="217" t="s">
        <v>191</v>
      </c>
      <c r="AW7" s="217">
        <v>80</v>
      </c>
      <c r="AX7" s="217" t="s">
        <v>191</v>
      </c>
      <c r="AY7" s="217">
        <v>80</v>
      </c>
    </row>
    <row r="8" spans="5:51" ht="15">
      <c r="E8" s="401" t="s">
        <v>353</v>
      </c>
      <c r="F8" s="402"/>
      <c r="H8" s="96" t="s">
        <v>264</v>
      </c>
      <c r="I8" s="254">
        <v>2.5</v>
      </c>
      <c r="J8" s="97" t="s">
        <v>10</v>
      </c>
      <c r="K8" s="98" t="str">
        <f>IF(I8&lt;'DDR4 Config'!D18,"ERROR, VPP too Low",IF(I8&gt;'DDR4 Config'!D17,"ERROR, VPP too High",""))</f>
        <v/>
      </c>
      <c r="L8" s="141"/>
      <c r="M8" s="203"/>
      <c r="N8" s="143"/>
      <c r="O8" s="143"/>
      <c r="P8" s="143"/>
      <c r="Q8" s="143"/>
      <c r="R8" s="143"/>
      <c r="S8" s="143"/>
      <c r="T8" s="202"/>
      <c r="U8" s="203"/>
      <c r="V8" s="143"/>
      <c r="W8" s="143"/>
      <c r="X8" s="143"/>
      <c r="Y8" s="143"/>
      <c r="Z8" s="143"/>
      <c r="AA8" s="143"/>
      <c r="AB8" s="202"/>
      <c r="AV8" s="217" t="s">
        <v>191</v>
      </c>
      <c r="AW8" s="217">
        <v>120</v>
      </c>
      <c r="AX8" s="217" t="s">
        <v>191</v>
      </c>
      <c r="AY8" s="217">
        <v>120</v>
      </c>
    </row>
    <row r="9" spans="5:51" ht="15">
      <c r="E9" s="402"/>
      <c r="F9" s="402"/>
      <c r="G9" s="325">
        <f>IF('DDR4 Config'!D9 = "-107E", 1000000/1071, IF('DDR4 Config'!D9 = "-093", 1000000/937, IF('DDR4 Config'!D9 = "-093E", 1000000/937, IF('DDR4 Config'!D9 = "-083", 1000000/833, IF('DDR4 Config'!D9 = "-083E", 1000000/833, IF('DDR4 Config'!D9 = "-075", 1000000/750, IF('DDR4 Config'!D9 = "-075E", 1000000/750, IF('DDR4 Config'!D9 = "-068", 1000000/682, IF('DDR4 Config'!D9 = "-068E", 1000000/682, IF('DDR4 Config'!D9 = "-062E", 1000000/625, 0))))))))))</f>
        <v>1333.3333333333333</v>
      </c>
      <c r="H9" s="100" t="s">
        <v>256</v>
      </c>
      <c r="I9" s="364">
        <f>IF('DDR4 Config'!D9 = "-107E", 1000000/1071, IF('DDR4 Config'!D9 = "-093", 1000000/937, IF('DDR4 Config'!D9 = "-093E", 1000000/937, IF('DDR4 Config'!D9 = "-083", 1000000/833, IF('DDR4 Config'!D9 = "-083E", 1000000/833, IF('DDR4 Config'!D9 = "-075", 1000000/750, IF('DDR4 Config'!D9 = "-075E", 1000000/750, IF('DDR4 Config'!D9 = "-068", 1000000/682, IF('DDR4 Config'!D9 = "-068E", 1000000/682, IF('DDR4 Config'!D9 = "-062E", 1000000/625, 0))))))))))</f>
        <v>1333.3333333333333</v>
      </c>
      <c r="J9" s="101" t="s">
        <v>9</v>
      </c>
      <c r="K9" s="326" t="str">
        <f>IF(I9+0.1&lt;1000/'DDR4 Config'!D45,"ERROR, frequency too low",IF(I9-0.5&gt; 1000 /'DDR4 Config'!D44,"ERROR, frequency too high",               IF('DDR4 Config'!D9 = "-107E","DDR4-1866 Base", IF('DDR4 Config'!D9 = "-093", "DDR4-2133  Base", IF('DDR4 Config'!D9 = "-093E", "DDR4-2133  Base", IF('DDR4 Config'!D9 = "-083", "DDR4-2400  Base", IF('DDR4 Config'!D9 = "-083E",  "DDR4-2400  Base", IF('DDR4 Config'!D9 = "-075",  "DDR4-2666  Base", IF('DDR4 Config'!D9 = "-075E",  "DDR4-2666  Base", IF('DDR4 Config'!D9 = "-068",  "DDR4-2933  Base", IF('DDR4 Config'!D9 = "-068E","DDR4-2933  Base", IF('DDR4 Config'!D9 = "-062E",  "DDR4-3200  Base", " K"))))))))))          ))</f>
        <v>DDR4-2666  Base</v>
      </c>
      <c r="L9" s="141"/>
      <c r="M9" s="203"/>
      <c r="N9" s="143"/>
      <c r="O9" s="143"/>
      <c r="P9" s="143"/>
      <c r="Q9" s="143"/>
      <c r="R9" s="143"/>
      <c r="S9" s="143"/>
      <c r="T9" s="202"/>
      <c r="U9" s="203"/>
      <c r="V9" s="143"/>
      <c r="W9" s="143"/>
      <c r="X9" s="143"/>
      <c r="Y9" s="143"/>
      <c r="Z9" s="143"/>
      <c r="AA9" s="143"/>
      <c r="AB9" s="202"/>
      <c r="AV9" s="217" t="s">
        <v>191</v>
      </c>
      <c r="AW9" s="217">
        <v>240</v>
      </c>
      <c r="AX9" s="217" t="s">
        <v>191</v>
      </c>
      <c r="AY9" s="217">
        <v>240</v>
      </c>
    </row>
    <row r="10" spans="5:51" ht="15">
      <c r="E10" s="402"/>
      <c r="F10" s="402"/>
      <c r="G10" s="325" t="s">
        <v>191</v>
      </c>
      <c r="H10" s="100" t="s">
        <v>136</v>
      </c>
      <c r="I10" s="75">
        <v>8</v>
      </c>
      <c r="J10" s="101"/>
      <c r="K10" s="103" t="s">
        <v>267</v>
      </c>
      <c r="L10" s="141"/>
      <c r="M10" s="203"/>
      <c r="N10" s="143"/>
      <c r="O10" s="143"/>
      <c r="P10" s="143"/>
      <c r="Q10" s="143"/>
      <c r="R10" s="143"/>
      <c r="S10" s="143"/>
      <c r="T10" s="202"/>
      <c r="U10" s="203"/>
      <c r="V10" s="143"/>
      <c r="W10" s="143"/>
      <c r="X10" s="143"/>
      <c r="Y10" s="143"/>
      <c r="Z10" s="143"/>
      <c r="AA10" s="143"/>
      <c r="AB10" s="202"/>
      <c r="AV10" s="250" t="s">
        <v>191</v>
      </c>
      <c r="AW10" s="250">
        <v>0</v>
      </c>
      <c r="AY10" s="250">
        <v>0</v>
      </c>
    </row>
    <row r="11" spans="5:51" ht="15.75" thickBot="1">
      <c r="H11" s="100"/>
      <c r="I11" s="78"/>
      <c r="J11" s="101"/>
      <c r="K11" s="103"/>
      <c r="L11" s="141"/>
      <c r="M11" s="203"/>
      <c r="N11" s="143"/>
      <c r="O11" s="143"/>
      <c r="P11" s="143"/>
      <c r="Q11" s="143"/>
      <c r="R11" s="143"/>
      <c r="S11" s="143"/>
      <c r="T11" s="202"/>
      <c r="U11" s="203"/>
      <c r="V11" s="143"/>
      <c r="W11" s="143"/>
      <c r="X11" s="143"/>
      <c r="Y11" s="143"/>
      <c r="Z11" s="143"/>
      <c r="AA11" s="143"/>
      <c r="AB11" s="202"/>
    </row>
    <row r="12" spans="5:51" ht="30" customHeight="1">
      <c r="G12" s="112" t="s">
        <v>75</v>
      </c>
      <c r="H12" s="104" t="s">
        <v>268</v>
      </c>
      <c r="I12" s="363">
        <f>IF(Q19= "na",0, Q19) +IF(Q20= "na",0, Q20)</f>
        <v>11.731151536607616</v>
      </c>
      <c r="J12" s="101" t="s">
        <v>8</v>
      </c>
      <c r="K12" s="412" t="s">
        <v>330</v>
      </c>
      <c r="L12" s="141"/>
      <c r="M12" s="203"/>
      <c r="N12" s="143"/>
      <c r="O12" s="143"/>
      <c r="P12" s="143"/>
      <c r="Q12" s="143"/>
      <c r="R12" s="143"/>
      <c r="S12" s="143"/>
      <c r="T12" s="202"/>
      <c r="U12" s="203"/>
      <c r="V12" s="143"/>
      <c r="W12" s="143"/>
      <c r="X12" s="143"/>
      <c r="Y12" s="143"/>
      <c r="Z12" s="143"/>
      <c r="AA12" s="143"/>
      <c r="AB12" s="202"/>
    </row>
    <row r="13" spans="5:51" ht="30" customHeight="1" thickBot="1">
      <c r="G13" s="113" t="s">
        <v>76</v>
      </c>
      <c r="H13" s="104" t="s">
        <v>269</v>
      </c>
      <c r="I13" s="363">
        <f>IF(Y19= "na",0, Y19) +IF(Y20= "na",0, Y20)</f>
        <v>4.1480481944731356</v>
      </c>
      <c r="J13" s="101" t="s">
        <v>8</v>
      </c>
      <c r="K13" s="413"/>
      <c r="L13" s="99"/>
      <c r="M13" s="203"/>
      <c r="N13" s="151" t="s">
        <v>346</v>
      </c>
      <c r="O13" s="143"/>
      <c r="P13" s="143"/>
      <c r="Q13" s="143"/>
      <c r="R13" s="143"/>
      <c r="S13" s="253" t="s">
        <v>328</v>
      </c>
      <c r="T13" s="202"/>
      <c r="U13" s="203"/>
      <c r="V13" s="151" t="s">
        <v>346</v>
      </c>
      <c r="W13" s="143"/>
      <c r="X13" s="143"/>
      <c r="Y13" s="143"/>
      <c r="Z13" s="143"/>
      <c r="AA13" s="253" t="s">
        <v>328</v>
      </c>
      <c r="AB13" s="202"/>
    </row>
    <row r="14" spans="5:51" ht="30" customHeight="1" thickBot="1">
      <c r="G14" s="113" t="s">
        <v>78</v>
      </c>
      <c r="H14" s="104" t="s">
        <v>287</v>
      </c>
      <c r="I14" s="363">
        <f>IF( S14 = 0, 0,S19+  S20)</f>
        <v>3.9981073242466723</v>
      </c>
      <c r="J14" s="101" t="s">
        <v>8</v>
      </c>
      <c r="K14" s="412" t="s">
        <v>212</v>
      </c>
      <c r="L14" s="99"/>
      <c r="M14" s="203"/>
      <c r="N14" s="265" t="s">
        <v>195</v>
      </c>
      <c r="O14" s="268">
        <v>60</v>
      </c>
      <c r="P14" s="265" t="s">
        <v>331</v>
      </c>
      <c r="Q14" s="261">
        <f>INDEX(AV3:AV4,AV1)</f>
        <v>34</v>
      </c>
      <c r="R14" s="270" t="s">
        <v>196</v>
      </c>
      <c r="S14" s="260">
        <f>INDEX(AW3:AW11,AW1)</f>
        <v>48</v>
      </c>
      <c r="T14" s="202"/>
      <c r="U14" s="203" t="s">
        <v>191</v>
      </c>
      <c r="V14" s="265" t="s">
        <v>197</v>
      </c>
      <c r="W14" s="268">
        <v>34</v>
      </c>
      <c r="X14" s="265" t="s">
        <v>333</v>
      </c>
      <c r="Y14" s="261">
        <f>INDEX(AX3:AX5,AX1)</f>
        <v>80</v>
      </c>
      <c r="Z14" s="264" t="s">
        <v>335</v>
      </c>
      <c r="AA14" s="261">
        <f>INDEX(AY3:AY11,AY1)</f>
        <v>48</v>
      </c>
      <c r="AB14" s="202"/>
      <c r="AD14" s="204" t="s">
        <v>205</v>
      </c>
      <c r="AE14" s="205">
        <f>1*W18/W14</f>
        <v>17.323449083105736</v>
      </c>
      <c r="AF14" s="204"/>
      <c r="AG14" s="204" t="s">
        <v>207</v>
      </c>
      <c r="AH14" s="205">
        <f>1000*((W16-0.001*Y18)/Y14)</f>
        <v>6.7889192352711651</v>
      </c>
      <c r="AI14" s="204"/>
      <c r="AJ14" s="204" t="s">
        <v>207</v>
      </c>
      <c r="AK14" s="205">
        <f>1000*((W16-0.001*AA18)/AA14)</f>
        <v>10.534529847834568</v>
      </c>
      <c r="AL14" s="206"/>
      <c r="AM14" s="206"/>
      <c r="AN14" s="206"/>
      <c r="AO14" s="206"/>
      <c r="AP14" s="206"/>
      <c r="AQ14" s="206"/>
    </row>
    <row r="15" spans="5:51" ht="30" customHeight="1" thickBot="1">
      <c r="G15" s="113" t="s">
        <v>77</v>
      </c>
      <c r="H15" s="104" t="s">
        <v>288</v>
      </c>
      <c r="I15" s="363">
        <f>IF( AA14 = 0, 0,AA19+  AA20)</f>
        <v>6.436626508665209</v>
      </c>
      <c r="J15" s="101" t="s">
        <v>8</v>
      </c>
      <c r="K15" s="413"/>
      <c r="L15" s="99"/>
      <c r="M15" s="203"/>
      <c r="N15" s="274"/>
      <c r="O15" s="275"/>
      <c r="P15" s="265" t="s">
        <v>332</v>
      </c>
      <c r="Q15" s="269">
        <v>10</v>
      </c>
      <c r="R15" s="265" t="s">
        <v>202</v>
      </c>
      <c r="S15" s="268">
        <v>10</v>
      </c>
      <c r="T15" s="202"/>
      <c r="U15" s="203"/>
      <c r="V15" s="274"/>
      <c r="W15" s="275"/>
      <c r="X15" s="267" t="s">
        <v>332</v>
      </c>
      <c r="Y15" s="262">
        <f>Q15</f>
        <v>10</v>
      </c>
      <c r="Z15" s="266" t="s">
        <v>334</v>
      </c>
      <c r="AA15" s="263">
        <f>S15</f>
        <v>10</v>
      </c>
      <c r="AB15" s="202"/>
      <c r="AD15" s="206"/>
      <c r="AE15" s="206"/>
      <c r="AF15" s="206"/>
      <c r="AG15" s="204" t="s">
        <v>206</v>
      </c>
      <c r="AH15" s="205">
        <f>1*Y18/Y15</f>
        <v>65.688646117830672</v>
      </c>
      <c r="AI15" s="204"/>
      <c r="AJ15" s="204" t="s">
        <v>206</v>
      </c>
      <c r="AK15" s="205">
        <f>1*AA18/AA15</f>
        <v>69.434256730394083</v>
      </c>
      <c r="AL15" s="206"/>
      <c r="AM15" s="206"/>
      <c r="AN15" s="206"/>
      <c r="AO15" s="206"/>
      <c r="AP15" s="206"/>
      <c r="AQ15" s="206"/>
    </row>
    <row r="16" spans="5:51" ht="18" customHeight="1">
      <c r="G16" s="113"/>
      <c r="H16" s="104"/>
      <c r="I16" s="123" t="s">
        <v>191</v>
      </c>
      <c r="J16" s="101" t="s">
        <v>191</v>
      </c>
      <c r="K16" s="106"/>
      <c r="L16" s="99"/>
      <c r="M16" s="203"/>
      <c r="N16" s="272" t="s">
        <v>199</v>
      </c>
      <c r="O16" s="273">
        <v>1.2</v>
      </c>
      <c r="P16" s="143"/>
      <c r="Q16" s="142"/>
      <c r="R16" s="142"/>
      <c r="S16" s="142"/>
      <c r="T16" s="202"/>
      <c r="U16" s="203"/>
      <c r="V16" s="272" t="s">
        <v>199</v>
      </c>
      <c r="W16" s="273">
        <f>O16</f>
        <v>1.2</v>
      </c>
      <c r="X16" s="142"/>
      <c r="Y16" s="142"/>
      <c r="Z16" s="142"/>
      <c r="AA16" s="142"/>
      <c r="AB16" s="202"/>
      <c r="AD16" s="206"/>
      <c r="AE16" s="206"/>
      <c r="AF16" s="206"/>
      <c r="AG16" s="204" t="s">
        <v>208</v>
      </c>
      <c r="AH16" s="205" t="e">
        <f>1*(Y18-W18)/Y16</f>
        <v>#DIV/0!</v>
      </c>
      <c r="AI16" s="204"/>
      <c r="AJ16" s="204" t="s">
        <v>208</v>
      </c>
      <c r="AK16" s="205" t="e">
        <f>1*(AA18-W18)/AA16</f>
        <v>#DIV/0!</v>
      </c>
      <c r="AL16" s="206"/>
      <c r="AM16" s="206"/>
      <c r="AN16" s="206"/>
      <c r="AO16" s="206"/>
      <c r="AP16" s="206"/>
      <c r="AQ16" s="206"/>
    </row>
    <row r="17" spans="3:51" ht="42" customHeight="1">
      <c r="C17" s="143"/>
      <c r="D17" s="305">
        <v>6.7000000000000004E-2</v>
      </c>
      <c r="G17" s="113" t="s">
        <v>74</v>
      </c>
      <c r="H17" s="104" t="s">
        <v>137</v>
      </c>
      <c r="I17" s="305">
        <v>0.2</v>
      </c>
      <c r="J17" s="101" t="s">
        <v>191</v>
      </c>
      <c r="K17" s="106" t="str">
        <f>IF(SUM(I23+I25)*8/I10&gt;1,"Data Bus utilization is too high","")</f>
        <v/>
      </c>
      <c r="L17" s="99"/>
      <c r="M17" s="203"/>
      <c r="N17" s="151" t="s">
        <v>345</v>
      </c>
      <c r="O17" s="143"/>
      <c r="P17" s="143"/>
      <c r="Q17" s="143"/>
      <c r="R17" s="143"/>
      <c r="S17" s="143"/>
      <c r="T17" s="202"/>
      <c r="U17" s="203"/>
      <c r="V17" s="151" t="s">
        <v>345</v>
      </c>
      <c r="W17" s="143"/>
      <c r="X17" s="143"/>
      <c r="Y17" s="207"/>
      <c r="Z17" s="143"/>
      <c r="AA17" s="207"/>
      <c r="AB17" s="202"/>
      <c r="AC17" s="143"/>
      <c r="AD17" s="206"/>
      <c r="AE17" s="206"/>
      <c r="AF17" s="206"/>
      <c r="AG17" s="206"/>
      <c r="AH17" s="206"/>
      <c r="AI17" s="206"/>
      <c r="AJ17" s="206"/>
      <c r="AK17" s="206"/>
      <c r="AL17" s="206"/>
      <c r="AM17" s="206"/>
      <c r="AN17" s="206"/>
      <c r="AO17" s="206"/>
      <c r="AP17" s="206"/>
      <c r="AQ17" s="206"/>
    </row>
    <row r="18" spans="3:51" ht="33.75" customHeight="1">
      <c r="D18" s="300">
        <v>0</v>
      </c>
      <c r="G18" s="113" t="s">
        <v>119</v>
      </c>
      <c r="H18" s="104" t="s">
        <v>2</v>
      </c>
      <c r="I18" s="300">
        <v>0.1</v>
      </c>
      <c r="J18" s="101" t="s">
        <v>191</v>
      </c>
      <c r="K18" s="105"/>
      <c r="L18" s="99"/>
      <c r="M18" s="203"/>
      <c r="N18" s="144" t="s">
        <v>209</v>
      </c>
      <c r="O18" s="247">
        <f>IF(S14&gt;0,  IF(Q14&gt;0,   IF(O14&gt;0,   1000*    (O16 *(Q14+Q15) )/(Q14+Q15+((S14+S15)* O14)/(S14+S15+ O14)),"RTTC&lt;1"),"Rz1&lt;1"),                                                                                                                                                              IF(Q14&gt;0,   IF(O14&gt;0,   1000*    (O16 *(Q14+Q15) )/(Q14+Q15+O14),"RTTC&lt;1"),"Rz1&lt;1"))</f>
        <v>718.450184501845</v>
      </c>
      <c r="P18" s="144" t="s">
        <v>210</v>
      </c>
      <c r="Q18" s="247">
        <f xml:space="preserve">  IF(S14&gt;0,     IF(O14&gt;0,     IF(Q14&gt;0,   1000*    (O16 *Q14 )/(Q14+Q15+((S14+S15)* O14)/(S14+S15+ O14)),"RZ&lt;1"), O14/O14),  IF(O14&gt;0,           IF(Q14&gt;0,   1000*    (O16 *Q14 )/(Q14+Q15+O14),"RZ&lt;1"), O14/O14))</f>
        <v>555.16605166051659</v>
      </c>
      <c r="R18" s="144" t="s">
        <v>211</v>
      </c>
      <c r="S18" s="247">
        <f xml:space="preserve"> IF(Q14&gt;0,             IF(S14&gt;0,  1000* (O18*0.001+ (O16-O18*0.001)*S15/(S14+S15)),0), "RZ&lt;1")</f>
        <v>801.47601476014768</v>
      </c>
      <c r="T18" s="202"/>
      <c r="U18" s="203"/>
      <c r="V18" s="144" t="s">
        <v>209</v>
      </c>
      <c r="W18" s="247">
        <f xml:space="preserve">  IF(Y14&gt;0,               IF(AA14&gt;0, IF(W14&gt;0,1000*W16*W14/(W14+(Y14+Y15)*(AA14+AA15)/(Y14+Y15+AA14+AA15)),"RZc&lt;1"),  IF(W14&gt;0,1000*W16*W14/(W14+Y14+Y15), "RZc&lt;1" ) ),    " Rtt1&lt;1")</f>
        <v>588.99726882559503</v>
      </c>
      <c r="X18" s="144" t="s">
        <v>210</v>
      </c>
      <c r="Y18" s="247">
        <f>IF(Y14&gt;0,   W18+(1000*W16-W18)*Y15/(Y14+Y15),"Rtt1&lt;1")</f>
        <v>656.88646117830672</v>
      </c>
      <c r="Z18" s="144" t="s">
        <v>211</v>
      </c>
      <c r="AA18" s="247">
        <f xml:space="preserve"> IF(Y14&gt;0,        IF(AA14&gt;0,   W18+(1000*W16-W18)*AA15/(AA14+AA15),0),"Rtt1&lt;1")</f>
        <v>694.34256730394077</v>
      </c>
      <c r="AB18" s="202"/>
      <c r="AC18" s="143"/>
      <c r="AD18" s="206"/>
      <c r="AE18" s="206"/>
      <c r="AF18" s="206"/>
      <c r="AG18" s="206"/>
      <c r="AH18" s="206"/>
      <c r="AI18" s="206"/>
      <c r="AJ18" s="206"/>
      <c r="AK18" s="206"/>
      <c r="AL18" s="206"/>
      <c r="AM18" s="206"/>
      <c r="AN18" s="206"/>
      <c r="AO18" s="206"/>
      <c r="AP18" s="206"/>
      <c r="AQ18" s="206"/>
    </row>
    <row r="19" spans="3:51" ht="33.75" customHeight="1">
      <c r="D19" s="300">
        <v>0</v>
      </c>
      <c r="G19" s="113" t="s">
        <v>120</v>
      </c>
      <c r="H19" s="104" t="s">
        <v>4</v>
      </c>
      <c r="I19" s="300">
        <v>0.1</v>
      </c>
      <c r="J19" s="101" t="s">
        <v>191</v>
      </c>
      <c r="K19" s="319" t="str">
        <f>IF(1-I19&lt;I23+I25,"ERROR, CKE HI must be greater than READ and WRITE output cycles","")</f>
        <v/>
      </c>
      <c r="L19" s="99"/>
      <c r="M19" s="203"/>
      <c r="N19" s="144" t="s">
        <v>313</v>
      </c>
      <c r="O19" s="145">
        <f xml:space="preserve"> IF(Q14&gt;0,            IF(O14&gt;0, 0.001*(1000*O16 - O18)*(1000*O16 - O18)/O14,"RTTC&lt;1"), "RZ1&lt;1")</f>
        <v>3.8648370801051186</v>
      </c>
      <c r="P19" s="144" t="s">
        <v>198</v>
      </c>
      <c r="Q19" s="362">
        <f xml:space="preserve"> IF(S14&gt;0,       IF(O14&gt;0,     IF(Q14&gt;0,   1000*  (  (O16 *Q14 )/(Q14+Q15+((S14+S15)* O14)/(S14+S15+ O14))   )* (  (O16 *Q14 )/(Q14+Q15+((S14+S15)* O14)/(S14+S15+ O14)))/ Q14,"RZ&lt;1"), O14/O14),   IF(O14&gt;0,     IF(Q14&gt;0,   1000*  ((O16 *Q14 )/(Q14+Q15+ O14)   *      (O16 *Q14 )/(Q14+Q15+ O14)  / Q14),"RZ&lt;1"), O14/O14))</f>
        <v>9.064980732833158</v>
      </c>
      <c r="R19" s="144" t="s">
        <v>204</v>
      </c>
      <c r="S19" s="362">
        <f xml:space="preserve"> IF(Q14&gt;0,              IF(S14&gt;0,  1000*                 ((O16-O18*0.001)*S14/(S14+S15))    *  ((O16-O18*0.001)*S14/(S14+S15))/S14,0), "RZ&lt;1")</f>
        <v>3.3087784752386251</v>
      </c>
      <c r="T19" s="202"/>
      <c r="U19" s="203"/>
      <c r="V19" s="144" t="s">
        <v>314</v>
      </c>
      <c r="W19" s="145">
        <f xml:space="preserve">  IF(Y14&gt;0,       IF(W14&gt;0,         0.001*  (W18/(W14)) * (W18/(W14))    *W14, "RZc&lt;1"), "Rtt1&lt;1")</f>
        <v>10.203464196588538</v>
      </c>
      <c r="X19" s="144" t="s">
        <v>315</v>
      </c>
      <c r="Y19" s="362">
        <f>IF(Y14&gt;0,1000*((W16-0.001*Y18 )*(W16-0.001*Y18)/Y14),"Rtt1&lt;1")</f>
        <v>3.6871539506427862</v>
      </c>
      <c r="Z19" s="144" t="s">
        <v>316</v>
      </c>
      <c r="AA19" s="362">
        <f>IF(Y14&gt;0,IF(AA14&gt;0,1000*((W16-0.001*AA18 )*(W16-0.001*AA18)/AA14),0),"Rtt1&lt;1")</f>
        <v>5.3268633175160343</v>
      </c>
      <c r="AB19" s="202"/>
      <c r="AC19" s="143"/>
      <c r="AD19" s="206"/>
      <c r="AE19" s="206"/>
      <c r="AF19" s="206"/>
      <c r="AG19" s="206"/>
      <c r="AH19" s="206"/>
      <c r="AI19" s="206"/>
      <c r="AJ19" s="206"/>
      <c r="AK19" s="206"/>
      <c r="AL19" s="206"/>
      <c r="AM19" s="206"/>
      <c r="AN19" s="206"/>
      <c r="AO19" s="206"/>
      <c r="AP19" s="206"/>
      <c r="AQ19" s="206"/>
    </row>
    <row r="20" spans="3:51" ht="27.75" customHeight="1">
      <c r="D20" s="299"/>
      <c r="G20" s="113"/>
      <c r="H20" s="104"/>
      <c r="I20" s="299"/>
      <c r="J20" s="101" t="s">
        <v>191</v>
      </c>
      <c r="K20" s="102"/>
      <c r="L20" s="99"/>
      <c r="M20" s="203"/>
      <c r="N20" s="143"/>
      <c r="O20" s="143"/>
      <c r="P20" s="144" t="s">
        <v>200</v>
      </c>
      <c r="Q20" s="362">
        <f>IF(Q14&gt;0,IF(Q15&gt;0,1000*(O18*0.001/(Q14+Q15))*(O18*0.001/(Q14+Q15))*Q15,0),"Rz&lt;1")</f>
        <v>2.6661708037744587</v>
      </c>
      <c r="R20" s="144" t="s">
        <v>201</v>
      </c>
      <c r="S20" s="362">
        <f xml:space="preserve"> IF(Q14&gt;0,            IF(S14&gt;0, IF(S15&gt;0, 1000*    ((O16-O18*0.001)*S15/(S14+S15))    *  ((O16-O18*0.001)*S15/(S14+S15))/S15,0),"NoRTT2"), "RZ&lt;1")</f>
        <v>0.68932884900804692</v>
      </c>
      <c r="T20" s="202"/>
      <c r="U20" s="203"/>
      <c r="V20" s="143"/>
      <c r="W20" s="143"/>
      <c r="X20" s="144" t="s">
        <v>203</v>
      </c>
      <c r="Y20" s="362">
        <f xml:space="preserve">  IF(Y14&gt;0,IF(Y15&gt;0,1000*((0.001*Y18-0.001*W18)*(0.001*Y18-0.001*W18)/Y15),0), "Rtt1&lt;1")</f>
        <v>0.46089424383034933</v>
      </c>
      <c r="Z20" s="144" t="s">
        <v>317</v>
      </c>
      <c r="AA20" s="362">
        <f>IF(Y14&gt;0,IF(AA14&gt;0,IF(AA15&gt;0,1000*((0.001*AA18-0.001*W18)*(0.001*AA18-0.001*W18)/AA15),0),"NoRTT2"),"Rtt1&lt;1")</f>
        <v>1.109763191149175</v>
      </c>
      <c r="AB20" s="202"/>
      <c r="AC20" s="143"/>
      <c r="AD20" s="206"/>
      <c r="AE20" s="206"/>
      <c r="AF20" s="206"/>
      <c r="AG20" s="206"/>
      <c r="AH20" s="206"/>
      <c r="AI20" s="206"/>
      <c r="AJ20" s="206"/>
      <c r="AK20" s="206"/>
      <c r="AL20" s="206"/>
      <c r="AM20" s="206"/>
      <c r="AN20" s="206"/>
      <c r="AO20" s="206"/>
      <c r="AP20" s="206"/>
      <c r="AQ20" s="206"/>
    </row>
    <row r="21" spans="3:51" ht="21" customHeight="1">
      <c r="D21" s="300">
        <v>0.2</v>
      </c>
      <c r="G21" s="113" t="s">
        <v>116</v>
      </c>
      <c r="H21" s="104" t="s">
        <v>138</v>
      </c>
      <c r="I21" s="300">
        <v>0.5</v>
      </c>
      <c r="J21" s="306" t="s">
        <v>191</v>
      </c>
      <c r="K21" s="102"/>
      <c r="L21" s="99"/>
      <c r="M21" s="203"/>
      <c r="N21" s="143" t="s">
        <v>191</v>
      </c>
      <c r="O21" s="143"/>
      <c r="P21" s="144" t="s">
        <v>405</v>
      </c>
      <c r="Q21" s="362">
        <f>Q19+Q20</f>
        <v>11.731151536607616</v>
      </c>
      <c r="R21" s="144" t="s">
        <v>406</v>
      </c>
      <c r="S21" s="362">
        <f>S19+S20</f>
        <v>3.9981073242466723</v>
      </c>
      <c r="T21" s="202"/>
      <c r="U21" s="203"/>
      <c r="V21" s="143"/>
      <c r="W21" s="143"/>
      <c r="X21" s="144" t="s">
        <v>407</v>
      </c>
      <c r="Y21" s="362">
        <f>Y19+Y20</f>
        <v>4.1480481944731356</v>
      </c>
      <c r="Z21" s="144" t="s">
        <v>408</v>
      </c>
      <c r="AA21" s="362">
        <f>AA19+AA20</f>
        <v>6.436626508665209</v>
      </c>
      <c r="AB21" s="202"/>
      <c r="AC21" s="143"/>
      <c r="AD21" s="206"/>
      <c r="AE21" s="206"/>
      <c r="AF21" s="206"/>
      <c r="AG21" s="206"/>
      <c r="AH21" s="206"/>
      <c r="AI21" s="206"/>
      <c r="AJ21" s="206"/>
      <c r="AK21" s="206"/>
      <c r="AL21" s="206"/>
      <c r="AM21" s="206"/>
      <c r="AN21" s="206"/>
      <c r="AO21" s="206"/>
      <c r="AP21" s="206"/>
      <c r="AQ21" s="206"/>
    </row>
    <row r="22" spans="3:51" ht="16.5" customHeight="1" thickBot="1">
      <c r="D22" s="299"/>
      <c r="G22" s="113"/>
      <c r="H22" s="104"/>
      <c r="I22" s="306" t="s">
        <v>191</v>
      </c>
      <c r="J22" s="299" t="s">
        <v>191</v>
      </c>
      <c r="K22" s="102"/>
      <c r="L22" s="99"/>
      <c r="M22" s="208"/>
      <c r="N22" s="209"/>
      <c r="O22" s="209"/>
      <c r="P22" s="209"/>
      <c r="Q22" s="209"/>
      <c r="R22" s="209"/>
      <c r="S22" s="209"/>
      <c r="T22" s="210"/>
      <c r="U22" s="208"/>
      <c r="V22" s="209"/>
      <c r="W22" s="209"/>
      <c r="X22" s="209"/>
      <c r="Y22" s="209"/>
      <c r="Z22" s="209"/>
      <c r="AA22" s="209"/>
      <c r="AB22" s="210"/>
      <c r="AC22" s="143"/>
      <c r="AD22" s="206"/>
      <c r="AE22" s="206"/>
      <c r="AF22" s="206"/>
      <c r="AG22" s="206"/>
      <c r="AH22" s="206"/>
      <c r="AI22" s="206"/>
      <c r="AJ22" s="206"/>
      <c r="AK22" s="206"/>
      <c r="AL22" s="206"/>
      <c r="AM22" s="206"/>
      <c r="AN22" s="206"/>
      <c r="AO22" s="206"/>
      <c r="AP22" s="206"/>
      <c r="AQ22" s="206"/>
    </row>
    <row r="23" spans="3:51" ht="29.25" customHeight="1">
      <c r="D23" s="300">
        <v>0.55000000000000004</v>
      </c>
      <c r="G23" s="113" t="s">
        <v>114</v>
      </c>
      <c r="H23" s="104" t="s">
        <v>139</v>
      </c>
      <c r="I23" s="300">
        <v>0.25</v>
      </c>
      <c r="J23" s="300" t="s">
        <v>191</v>
      </c>
      <c r="K23" s="102" t="str">
        <f>IF(SUM(I23+I25)*8/I10&gt;1,"Data Bus utilization is too high","")</f>
        <v/>
      </c>
      <c r="L23" s="99"/>
      <c r="M23" s="414" t="s">
        <v>336</v>
      </c>
      <c r="N23" s="415"/>
      <c r="O23" s="416"/>
      <c r="P23" s="416"/>
      <c r="Q23" s="416"/>
      <c r="R23" s="416"/>
      <c r="S23" s="416"/>
      <c r="T23" s="416"/>
      <c r="U23" s="416"/>
      <c r="V23" s="416"/>
      <c r="W23" s="416"/>
      <c r="X23" s="416"/>
      <c r="Y23" s="416"/>
      <c r="Z23" s="416"/>
      <c r="AA23" s="416"/>
      <c r="AB23" s="417"/>
      <c r="AC23" s="143"/>
      <c r="AD23" s="206"/>
      <c r="AE23" s="206"/>
      <c r="AF23" s="206"/>
      <c r="AG23" s="206"/>
      <c r="AH23" s="206"/>
      <c r="AI23" s="206"/>
      <c r="AJ23" s="206"/>
      <c r="AK23" s="206"/>
      <c r="AL23" s="206"/>
      <c r="AM23" s="206"/>
      <c r="AN23" s="206"/>
      <c r="AO23" s="206"/>
      <c r="AP23" s="206"/>
      <c r="AQ23" s="206"/>
    </row>
    <row r="24" spans="3:51" ht="30.75" customHeight="1" thickBot="1">
      <c r="D24" s="300"/>
      <c r="G24" s="113" t="s">
        <v>412</v>
      </c>
      <c r="H24" s="104" t="s">
        <v>409</v>
      </c>
      <c r="I24" s="256">
        <v>1</v>
      </c>
      <c r="J24" s="300"/>
      <c r="K24" s="105" t="s">
        <v>411</v>
      </c>
      <c r="L24" s="99"/>
      <c r="M24" s="418" t="s">
        <v>321</v>
      </c>
      <c r="N24" s="419"/>
      <c r="O24" s="419"/>
      <c r="P24" s="419"/>
      <c r="Q24" s="419"/>
      <c r="R24" s="419"/>
      <c r="S24" s="419"/>
      <c r="T24" s="419"/>
      <c r="U24" s="419"/>
      <c r="V24" s="419"/>
      <c r="W24" s="419"/>
      <c r="X24" s="419"/>
      <c r="Y24" s="419"/>
      <c r="Z24" s="419"/>
      <c r="AA24" s="419"/>
      <c r="AB24" s="420"/>
      <c r="AC24" s="143"/>
      <c r="AD24" s="206"/>
      <c r="AE24" s="206"/>
      <c r="AF24" s="206"/>
      <c r="AG24" s="206"/>
      <c r="AH24" s="206"/>
      <c r="AI24" s="206"/>
      <c r="AJ24" s="206"/>
      <c r="AK24" s="206"/>
      <c r="AL24" s="206"/>
      <c r="AM24" s="206"/>
      <c r="AN24" s="206"/>
      <c r="AO24" s="206"/>
      <c r="AP24" s="206"/>
      <c r="AQ24" s="206"/>
    </row>
    <row r="25" spans="3:51" ht="28.5">
      <c r="D25" s="300">
        <v>0.3</v>
      </c>
      <c r="G25" s="113" t="s">
        <v>115</v>
      </c>
      <c r="H25" s="104" t="s">
        <v>140</v>
      </c>
      <c r="I25" s="300">
        <v>0.15</v>
      </c>
      <c r="J25" s="300" t="s">
        <v>191</v>
      </c>
      <c r="K25" s="106" t="str">
        <f>IF(SUM(I23+I25)*8/I10&gt;1,"Data Bus utilization is too high","")</f>
        <v/>
      </c>
      <c r="L25" s="99"/>
      <c r="M25" s="143"/>
      <c r="N25" s="143"/>
      <c r="O25" s="143"/>
      <c r="P25" s="143"/>
      <c r="Q25" s="143"/>
      <c r="R25" s="143"/>
      <c r="S25" s="143"/>
      <c r="T25" s="143"/>
      <c r="U25" s="143"/>
      <c r="V25" s="143"/>
      <c r="W25" s="143"/>
      <c r="X25" s="143"/>
      <c r="Y25" s="143"/>
      <c r="AC25" s="143"/>
      <c r="AD25" s="206"/>
      <c r="AE25" s="206"/>
      <c r="AF25" s="206"/>
      <c r="AG25" s="206"/>
      <c r="AH25" s="206"/>
      <c r="AI25" s="206"/>
      <c r="AJ25" s="206"/>
      <c r="AK25" s="206"/>
      <c r="AL25" s="206"/>
      <c r="AM25" s="206"/>
      <c r="AN25" s="206"/>
      <c r="AO25" s="206"/>
      <c r="AP25" s="206"/>
      <c r="AQ25" s="206"/>
    </row>
    <row r="26" spans="3:51" ht="28.5">
      <c r="D26" s="257">
        <f>D23/(D25+D23)</f>
        <v>0.6470588235294118</v>
      </c>
      <c r="G26" s="113" t="s">
        <v>413</v>
      </c>
      <c r="H26" s="104" t="s">
        <v>410</v>
      </c>
      <c r="I26" s="256">
        <v>1</v>
      </c>
      <c r="J26" s="300"/>
      <c r="K26" s="105" t="s">
        <v>411</v>
      </c>
      <c r="L26" s="99"/>
      <c r="Q26" s="143"/>
      <c r="R26" s="143"/>
      <c r="S26" s="143"/>
      <c r="T26" s="143"/>
      <c r="U26" s="143"/>
      <c r="V26" s="143"/>
      <c r="W26" s="143"/>
      <c r="X26" s="143"/>
      <c r="Y26" s="143"/>
      <c r="Z26" s="143"/>
      <c r="AA26" s="143"/>
      <c r="AB26" s="143"/>
      <c r="AC26" s="143"/>
      <c r="AD26" s="143"/>
      <c r="AE26" s="143"/>
      <c r="AF26" s="143"/>
      <c r="AG26" s="143"/>
      <c r="AH26" s="143"/>
      <c r="AI26" s="143"/>
      <c r="AJ26" s="143"/>
      <c r="AK26" s="143"/>
      <c r="AL26" s="143"/>
      <c r="AM26" s="143"/>
      <c r="AN26" s="143"/>
      <c r="AO26" s="143"/>
      <c r="AP26" s="143"/>
      <c r="AQ26" s="143"/>
      <c r="AR26" s="143"/>
      <c r="AS26" s="143"/>
      <c r="AT26" s="143"/>
    </row>
    <row r="27" spans="3:51" ht="15">
      <c r="G27" s="113"/>
      <c r="H27" s="107"/>
      <c r="I27" s="257" t="s">
        <v>191</v>
      </c>
      <c r="J27" s="101"/>
      <c r="K27" s="106"/>
      <c r="L27" s="99"/>
      <c r="Q27" s="143"/>
      <c r="R27" s="143"/>
      <c r="S27" s="143"/>
      <c r="T27" s="143"/>
      <c r="U27" s="143"/>
      <c r="V27" s="143"/>
      <c r="W27" s="143"/>
      <c r="X27" s="143"/>
      <c r="Y27" s="143"/>
      <c r="Z27" s="143"/>
      <c r="AA27" s="143"/>
      <c r="AB27" s="143"/>
      <c r="AC27" s="143"/>
      <c r="AD27" s="143"/>
      <c r="AE27" s="143"/>
      <c r="AF27" s="143"/>
      <c r="AG27" s="143"/>
      <c r="AH27" s="143"/>
      <c r="AI27" s="143"/>
      <c r="AJ27" s="143"/>
      <c r="AK27" s="143"/>
      <c r="AL27" s="143"/>
      <c r="AM27" s="143"/>
      <c r="AN27" s="143"/>
      <c r="AO27" s="143"/>
      <c r="AP27" s="143"/>
      <c r="AQ27" s="143"/>
      <c r="AR27" s="143"/>
      <c r="AS27" s="143"/>
      <c r="AT27" s="143"/>
    </row>
    <row r="28" spans="3:51" ht="28.5">
      <c r="G28" s="113" t="s">
        <v>117</v>
      </c>
      <c r="H28" s="104" t="s">
        <v>270</v>
      </c>
      <c r="I28" s="256">
        <f>I25</f>
        <v>0.15</v>
      </c>
      <c r="J28" s="101" t="s">
        <v>191</v>
      </c>
      <c r="K28" s="102" t="str">
        <f>IF(I28&gt;I25,"2nd rank RD ODT utilization maybe too high","")</f>
        <v/>
      </c>
      <c r="L28" s="99"/>
      <c r="M28" s="143"/>
      <c r="Y28" s="143"/>
      <c r="AC28" s="143"/>
      <c r="AD28" s="206"/>
      <c r="AE28" s="206"/>
      <c r="AF28" s="206"/>
      <c r="AG28" s="206"/>
      <c r="AH28" s="206"/>
      <c r="AI28" s="206"/>
      <c r="AJ28" s="206"/>
      <c r="AK28" s="206"/>
      <c r="AL28" s="206"/>
      <c r="AM28" s="206"/>
      <c r="AN28" s="206"/>
      <c r="AO28" s="206"/>
      <c r="AP28" s="206"/>
      <c r="AQ28" s="206"/>
    </row>
    <row r="29" spans="3:51" ht="28.5">
      <c r="G29" s="113" t="s">
        <v>118</v>
      </c>
      <c r="H29" s="104" t="s">
        <v>271</v>
      </c>
      <c r="I29" s="256">
        <f>I23</f>
        <v>0.25</v>
      </c>
      <c r="J29" s="101" t="s">
        <v>191</v>
      </c>
      <c r="K29" s="102" t="str">
        <f>IF(I29&gt;I23,"2nd rank RD ODT utilization may be  high","")</f>
        <v/>
      </c>
      <c r="L29" s="99" t="s">
        <v>191</v>
      </c>
      <c r="M29" s="143"/>
      <c r="Y29" s="143"/>
      <c r="AC29" s="143"/>
      <c r="AD29" s="206"/>
      <c r="AE29" s="206"/>
      <c r="AF29" s="206"/>
      <c r="AG29" s="206"/>
      <c r="AH29" s="206"/>
      <c r="AI29" s="206"/>
      <c r="AJ29" s="206"/>
      <c r="AK29" s="206"/>
      <c r="AL29" s="206"/>
      <c r="AM29" s="206"/>
      <c r="AN29" s="206"/>
      <c r="AO29" s="206"/>
      <c r="AP29" s="206"/>
      <c r="AQ29" s="206"/>
      <c r="AT29" s="248"/>
      <c r="AU29" s="248"/>
      <c r="AV29" s="249"/>
      <c r="AW29" s="249"/>
      <c r="AX29" s="249"/>
      <c r="AY29" s="249"/>
    </row>
    <row r="30" spans="3:51" ht="21" customHeight="1">
      <c r="G30" s="113"/>
      <c r="H30" s="259" t="s">
        <v>272</v>
      </c>
      <c r="I30" s="258"/>
      <c r="J30" s="101"/>
      <c r="K30" s="106"/>
      <c r="L30" s="111"/>
      <c r="M30" s="143"/>
      <c r="N30" s="143"/>
      <c r="O30" s="143"/>
      <c r="P30" s="143"/>
      <c r="Q30" s="143"/>
      <c r="R30" s="143"/>
      <c r="S30" s="143"/>
      <c r="T30" s="143"/>
      <c r="U30" s="143"/>
      <c r="V30" s="143"/>
      <c r="W30" s="143"/>
      <c r="X30" s="143"/>
      <c r="Y30" s="143"/>
      <c r="AC30" s="143"/>
      <c r="AD30" s="206"/>
      <c r="AE30" s="206"/>
      <c r="AF30" s="206"/>
      <c r="AG30" s="206"/>
      <c r="AH30" s="206"/>
      <c r="AI30" s="206"/>
      <c r="AJ30" s="206"/>
      <c r="AK30" s="206"/>
      <c r="AL30" s="206"/>
      <c r="AM30" s="206"/>
      <c r="AN30" s="206"/>
      <c r="AO30" s="206"/>
      <c r="AP30" s="206"/>
      <c r="AQ30" s="206"/>
      <c r="AT30" s="248"/>
      <c r="AU30" s="248"/>
      <c r="AV30" s="249"/>
      <c r="AW30" s="249"/>
      <c r="AX30" s="249"/>
      <c r="AY30" s="249"/>
    </row>
    <row r="31" spans="3:51" ht="48.75" customHeight="1" thickBot="1">
      <c r="G31" s="118" t="s">
        <v>347</v>
      </c>
      <c r="H31" s="108" t="s">
        <v>69</v>
      </c>
      <c r="I31" s="255">
        <f>INT(I43*10000/I9)/10</f>
        <v>15</v>
      </c>
      <c r="J31" s="109" t="s">
        <v>31</v>
      </c>
      <c r="K31" s="102" t="str">
        <f>IF(I$31&lt;                 (2* 'DDR4 Config'!D$39 + 'DDR4 Config'!D$38)/3,"ERROR, Must be greater the tRRD","")</f>
        <v/>
      </c>
      <c r="M31" s="143"/>
      <c r="N31" s="143"/>
      <c r="O31" s="143"/>
      <c r="P31" s="143"/>
      <c r="Q31" s="143"/>
      <c r="R31" s="143"/>
      <c r="S31" s="143"/>
      <c r="T31" s="143"/>
      <c r="U31" s="143"/>
      <c r="V31" s="143"/>
      <c r="W31" s="143"/>
      <c r="X31" s="143"/>
      <c r="Y31" s="143"/>
      <c r="AC31" s="143"/>
      <c r="AD31" s="206"/>
      <c r="AE31" s="206"/>
      <c r="AF31" s="206"/>
      <c r="AG31" s="206"/>
      <c r="AH31" s="206"/>
      <c r="AI31" s="206"/>
      <c r="AJ31" s="206"/>
      <c r="AK31" s="206"/>
      <c r="AL31" s="206"/>
      <c r="AM31" s="206"/>
      <c r="AN31" s="206"/>
      <c r="AO31" s="206"/>
      <c r="AP31" s="206"/>
      <c r="AQ31" s="206"/>
      <c r="AT31" s="248"/>
      <c r="AU31" s="248"/>
      <c r="AV31" s="249"/>
      <c r="AW31" s="249"/>
      <c r="AX31" s="249"/>
      <c r="AY31" s="249"/>
    </row>
    <row r="32" spans="3:51" ht="48.75" customHeight="1" thickBot="1">
      <c r="H32" s="403" t="s">
        <v>329</v>
      </c>
      <c r="I32" s="404"/>
      <c r="J32" s="110"/>
      <c r="K32" s="140" t="s">
        <v>215</v>
      </c>
      <c r="M32" s="143"/>
      <c r="N32" s="143"/>
      <c r="O32" s="143" t="s">
        <v>191</v>
      </c>
      <c r="P32" s="143"/>
      <c r="Q32" s="143" t="s">
        <v>191</v>
      </c>
      <c r="R32" s="143"/>
      <c r="S32" s="143"/>
      <c r="T32" s="143"/>
      <c r="U32" s="143"/>
      <c r="V32" s="143"/>
      <c r="W32" s="143"/>
      <c r="X32" s="143"/>
      <c r="Y32" s="143"/>
      <c r="AC32" s="143"/>
      <c r="AD32" s="206"/>
      <c r="AE32" s="206"/>
      <c r="AF32" s="206"/>
      <c r="AG32" s="206"/>
      <c r="AH32" s="206"/>
      <c r="AI32" s="206"/>
      <c r="AJ32" s="206"/>
      <c r="AK32" s="206"/>
      <c r="AL32" s="206"/>
      <c r="AM32" s="206"/>
      <c r="AN32" s="206"/>
      <c r="AO32" s="206"/>
      <c r="AP32" s="206"/>
      <c r="AQ32" s="206"/>
      <c r="AT32" s="248"/>
      <c r="AU32" s="248"/>
      <c r="AV32" s="249"/>
      <c r="AW32" s="249"/>
      <c r="AX32" s="249"/>
      <c r="AY32" s="249"/>
    </row>
    <row r="33" spans="7:51" ht="48.75" hidden="1" customHeight="1">
      <c r="M33" s="143"/>
      <c r="O33" s="141" t="s">
        <v>191</v>
      </c>
      <c r="AC33" s="143"/>
      <c r="AD33" s="206"/>
      <c r="AE33" s="206"/>
      <c r="AF33" s="206"/>
      <c r="AG33" s="206"/>
      <c r="AH33" s="206"/>
      <c r="AI33" s="206"/>
      <c r="AJ33" s="206"/>
      <c r="AK33" s="206"/>
      <c r="AL33" s="206"/>
      <c r="AM33" s="206"/>
      <c r="AN33" s="206"/>
      <c r="AO33" s="206"/>
      <c r="AP33" s="206"/>
      <c r="AQ33" s="206"/>
      <c r="AT33" s="248"/>
      <c r="AU33" s="248"/>
      <c r="AV33" s="249"/>
      <c r="AW33" s="249"/>
      <c r="AX33" s="249"/>
      <c r="AY33" s="249"/>
    </row>
    <row r="34" spans="7:51" ht="48.75" hidden="1" customHeight="1">
      <c r="M34" s="143"/>
      <c r="AC34" s="143"/>
      <c r="AD34" s="206"/>
      <c r="AE34" s="206"/>
      <c r="AF34" s="206"/>
      <c r="AG34" s="206"/>
      <c r="AH34" s="206"/>
      <c r="AI34" s="206"/>
      <c r="AJ34" s="206"/>
      <c r="AK34" s="206"/>
      <c r="AL34" s="206"/>
      <c r="AM34" s="206"/>
      <c r="AN34" s="206"/>
      <c r="AO34" s="206"/>
      <c r="AP34" s="206"/>
      <c r="AQ34" s="206"/>
      <c r="AT34" s="248"/>
      <c r="AU34" s="248"/>
      <c r="AV34" s="249"/>
      <c r="AW34" s="249"/>
      <c r="AX34" s="249"/>
      <c r="AY34" s="249"/>
    </row>
    <row r="35" spans="7:51" ht="48.75" hidden="1" customHeight="1">
      <c r="M35" s="143"/>
      <c r="AC35" s="143"/>
      <c r="AD35" s="206"/>
      <c r="AE35" s="206"/>
      <c r="AF35" s="206"/>
      <c r="AG35" s="206"/>
      <c r="AH35" s="206"/>
      <c r="AI35" s="206"/>
      <c r="AJ35" s="206"/>
      <c r="AK35" s="206"/>
      <c r="AL35" s="206"/>
      <c r="AM35" s="206"/>
      <c r="AN35" s="206"/>
      <c r="AO35" s="206"/>
      <c r="AP35" s="206"/>
      <c r="AQ35" s="206"/>
      <c r="AT35" s="248"/>
      <c r="AU35" s="248"/>
      <c r="AV35" s="249"/>
      <c r="AW35" s="249"/>
      <c r="AX35" s="249"/>
      <c r="AY35" s="249"/>
    </row>
    <row r="36" spans="7:51" ht="48.75" hidden="1" customHeight="1">
      <c r="H36" s="29"/>
      <c r="I36" s="29"/>
      <c r="J36" s="30"/>
      <c r="K36" s="29"/>
      <c r="M36" s="143"/>
      <c r="AL36" s="143"/>
      <c r="AM36" s="143"/>
      <c r="AN36" s="143"/>
      <c r="AO36" s="143"/>
      <c r="AP36" s="143"/>
      <c r="AQ36" s="143"/>
      <c r="AT36" s="248"/>
      <c r="AU36" s="248"/>
      <c r="AV36" s="249"/>
      <c r="AW36" s="249"/>
      <c r="AX36" s="249"/>
      <c r="AY36" s="249"/>
    </row>
    <row r="37" spans="7:51" ht="48.75" hidden="1" customHeight="1" thickBot="1">
      <c r="H37" s="29"/>
      <c r="I37" s="29"/>
      <c r="J37" s="30"/>
      <c r="K37" s="29"/>
      <c r="AL37" s="143"/>
      <c r="AM37" s="143"/>
      <c r="AN37" s="143"/>
      <c r="AO37" s="143"/>
      <c r="AP37" s="143"/>
      <c r="AQ37" s="143"/>
      <c r="AT37" s="248"/>
      <c r="AU37" s="248"/>
      <c r="AV37" s="249"/>
      <c r="AW37" s="249"/>
      <c r="AX37" s="249"/>
      <c r="AY37" s="249"/>
    </row>
    <row r="38" spans="7:51" ht="48.75" customHeight="1" thickBot="1">
      <c r="H38" s="405" t="s">
        <v>321</v>
      </c>
      <c r="I38" s="406"/>
      <c r="J38" s="30"/>
      <c r="K38" s="29"/>
    </row>
    <row r="39" spans="7:51" ht="20.25" customHeight="1">
      <c r="G39" s="196" t="s">
        <v>191</v>
      </c>
    </row>
    <row r="40" spans="7:51" ht="20.25" customHeight="1"/>
    <row r="41" spans="7:51" ht="20.25" hidden="1" customHeight="1"/>
    <row r="42" spans="7:51" ht="20.25" hidden="1" customHeight="1">
      <c r="H42" s="141" t="s">
        <v>55</v>
      </c>
      <c r="I42" s="141">
        <f>I10/2/(I25+I23)</f>
        <v>10</v>
      </c>
    </row>
    <row r="43" spans="7:51" ht="20.25" hidden="1" customHeight="1">
      <c r="H43" s="141" t="s">
        <v>56</v>
      </c>
      <c r="I43" s="141">
        <f>I42/(1-I21)</f>
        <v>20</v>
      </c>
    </row>
    <row r="44" spans="7:51" ht="20.25" customHeight="1"/>
    <row r="45" spans="7:51" ht="20.25" customHeight="1"/>
    <row r="46" spans="7:51" ht="20.25" customHeight="1"/>
    <row r="47" spans="7:51" ht="20.25" customHeight="1"/>
    <row r="48" spans="7:51" ht="20.25" customHeight="1"/>
    <row r="49" ht="20.25" customHeight="1"/>
    <row r="50" ht="20.25" customHeight="1"/>
    <row r="51" ht="20.25" customHeight="1"/>
    <row r="52" ht="20.25" customHeight="1"/>
    <row r="53" ht="20.25" customHeight="1"/>
    <row r="54" ht="20.25" customHeight="1"/>
  </sheetData>
  <mergeCells count="9">
    <mergeCell ref="E8:F10"/>
    <mergeCell ref="H32:I32"/>
    <mergeCell ref="H38:I38"/>
    <mergeCell ref="M4:T4"/>
    <mergeCell ref="U4:AB4"/>
    <mergeCell ref="K12:K13"/>
    <mergeCell ref="K14:K15"/>
    <mergeCell ref="M23:AB23"/>
    <mergeCell ref="M24:AB24"/>
  </mergeCells>
  <phoneticPr fontId="0" type="noConversion"/>
  <printOptions horizontalCentered="1"/>
  <pageMargins left="0.25" right="0.25" top="0.25" bottom="0.25" header="0.5" footer="0.5"/>
  <pageSetup scale="82" orientation="landscape"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sheetPr>
    <pageSetUpPr fitToPage="1"/>
  </sheetPr>
  <dimension ref="B1:Y37"/>
  <sheetViews>
    <sheetView showGridLines="0" topLeftCell="A4" workbookViewId="0">
      <selection activeCell="D21" sqref="D21"/>
    </sheetView>
  </sheetViews>
  <sheetFormatPr defaultRowHeight="12.75"/>
  <cols>
    <col min="1" max="1" width="1.28515625" style="4" customWidth="1"/>
    <col min="2" max="2" width="46" style="4" customWidth="1"/>
    <col min="3" max="3" width="15" style="4" customWidth="1"/>
    <col min="4" max="5" width="7" style="4" customWidth="1"/>
    <col min="6" max="6" width="7.7109375" style="4" customWidth="1"/>
    <col min="7" max="7" width="5.7109375" style="33" customWidth="1"/>
    <col min="8" max="8" width="2.7109375" style="4" customWidth="1"/>
    <col min="9" max="9" width="16.7109375" style="4" customWidth="1"/>
    <col min="10" max="12" width="7.42578125" style="4" customWidth="1"/>
    <col min="13" max="13" width="5.7109375" style="33" customWidth="1"/>
    <col min="14" max="14" width="3.140625" style="4" customWidth="1"/>
    <col min="15" max="15" width="16.7109375" style="4" customWidth="1"/>
    <col min="16" max="18" width="7.85546875" style="4" customWidth="1"/>
    <col min="19" max="19" width="5.7109375" style="33" customWidth="1"/>
    <col min="20" max="16384" width="9.140625" style="4"/>
  </cols>
  <sheetData>
    <row r="1" spans="2:25" ht="9" customHeight="1">
      <c r="B1" s="27"/>
    </row>
    <row r="5" spans="2:25" ht="24.75" customHeight="1">
      <c r="B5" s="129" t="str">
        <f>CONCATENATE("System Derating for ",E34," DDR4 SDRAM (x",E35,", ",E36," Speed Grade)", ","," ", IF( 'DDR4 Config'!D$10= 1, "DBI not enabled", IF('DDR4 Config'!D$10=2, "DBI enabled", "DBI selection is wrong")))</f>
        <v>System Derating for 8Gb DDR4 SDRAM (x8, -075E Speed Grade), DBI not enabled</v>
      </c>
      <c r="C5" s="129"/>
      <c r="D5" s="129"/>
      <c r="E5" s="129"/>
      <c r="F5" s="129"/>
      <c r="G5" s="129"/>
      <c r="H5" s="129"/>
      <c r="I5" s="129"/>
      <c r="J5" s="129"/>
      <c r="K5" s="129"/>
      <c r="L5" s="129"/>
      <c r="M5" s="129"/>
      <c r="N5" s="129"/>
      <c r="O5" s="129"/>
      <c r="P5" s="129"/>
      <c r="Q5" s="129"/>
      <c r="R5" s="129"/>
      <c r="S5" s="129"/>
    </row>
    <row r="6" spans="2:25">
      <c r="B6" s="20"/>
      <c r="C6" s="20"/>
      <c r="D6" s="20"/>
      <c r="E6" s="20"/>
      <c r="F6" s="20"/>
      <c r="G6" s="120"/>
      <c r="H6" s="20"/>
      <c r="I6" s="245" t="s">
        <v>191</v>
      </c>
      <c r="J6" s="245"/>
      <c r="K6" s="245"/>
      <c r="L6" s="20"/>
      <c r="M6" s="120"/>
      <c r="N6" s="20"/>
      <c r="O6" s="20"/>
      <c r="P6" s="20"/>
      <c r="Q6" s="20"/>
      <c r="R6" s="20"/>
      <c r="S6" s="120"/>
    </row>
    <row r="7" spans="2:25" ht="27.75" customHeight="1">
      <c r="B7" s="128" t="s">
        <v>186</v>
      </c>
      <c r="C7" s="128"/>
      <c r="D7" s="128"/>
      <c r="E7" s="128"/>
      <c r="F7" s="128"/>
      <c r="G7" s="128"/>
      <c r="H7" s="128"/>
      <c r="I7" s="128"/>
      <c r="J7" s="128"/>
      <c r="K7" s="128"/>
      <c r="L7" s="128"/>
      <c r="M7" s="128"/>
      <c r="N7" s="128"/>
      <c r="O7" s="128"/>
      <c r="P7" s="128"/>
      <c r="Q7" s="128"/>
      <c r="R7" s="128"/>
      <c r="S7" s="128"/>
    </row>
    <row r="8" spans="2:25">
      <c r="C8" s="244" t="s">
        <v>191</v>
      </c>
    </row>
    <row r="9" spans="2:25" ht="13.5" thickBot="1"/>
    <row r="10" spans="2:25" s="6" customFormat="1" ht="54.95" customHeight="1" thickBot="1">
      <c r="B10" s="114"/>
      <c r="C10" s="133" t="s">
        <v>312</v>
      </c>
      <c r="D10" s="134"/>
      <c r="E10" s="134"/>
      <c r="F10" s="285"/>
      <c r="G10" s="135"/>
      <c r="H10" s="115"/>
      <c r="I10" s="133" t="s">
        <v>141</v>
      </c>
      <c r="J10" s="279"/>
      <c r="K10" s="279"/>
      <c r="L10" s="134"/>
      <c r="M10" s="135"/>
      <c r="O10" s="133" t="s">
        <v>167</v>
      </c>
      <c r="P10" s="279"/>
      <c r="Q10" s="279"/>
      <c r="R10" s="134"/>
      <c r="S10" s="135"/>
      <c r="U10" s="4"/>
      <c r="V10" s="4"/>
      <c r="W10" s="4"/>
      <c r="X10" s="4"/>
      <c r="Y10" s="4"/>
    </row>
    <row r="11" spans="2:25" s="6" customFormat="1" ht="21" customHeight="1" thickBot="1">
      <c r="B11" s="114"/>
      <c r="C11" s="283"/>
      <c r="D11" s="284" t="s">
        <v>342</v>
      </c>
      <c r="E11" s="284" t="s">
        <v>343</v>
      </c>
      <c r="F11" s="286" t="s">
        <v>344</v>
      </c>
      <c r="G11" s="282"/>
      <c r="H11" s="4"/>
      <c r="I11" s="283"/>
      <c r="J11" s="284" t="s">
        <v>342</v>
      </c>
      <c r="K11" s="284" t="s">
        <v>343</v>
      </c>
      <c r="L11" s="286" t="s">
        <v>344</v>
      </c>
      <c r="M11" s="282"/>
      <c r="O11" s="283"/>
      <c r="P11" s="284" t="s">
        <v>342</v>
      </c>
      <c r="Q11" s="284" t="s">
        <v>343</v>
      </c>
      <c r="R11" s="286" t="s">
        <v>344</v>
      </c>
      <c r="S11" s="282"/>
      <c r="U11" s="4"/>
      <c r="V11" s="4"/>
      <c r="W11" s="4"/>
      <c r="X11" s="4"/>
      <c r="Y11" s="4"/>
    </row>
    <row r="12" spans="2:25" ht="25.5" customHeight="1">
      <c r="B12" s="292" t="s">
        <v>70</v>
      </c>
      <c r="C12" s="296" t="s">
        <v>57</v>
      </c>
      <c r="D12" s="280">
        <f>+'DDR4 Config'!D25*'DDR4 Config'!D$15</f>
        <v>31.5</v>
      </c>
      <c r="E12" s="280">
        <f xml:space="preserve"> +'DDR4 Config'!D29*'DDR4 Config'!D$17</f>
        <v>8.25</v>
      </c>
      <c r="F12" s="287">
        <f>D12+E12</f>
        <v>39.75</v>
      </c>
      <c r="G12" s="152" t="s">
        <v>8</v>
      </c>
      <c r="I12" s="56" t="s">
        <v>102</v>
      </c>
      <c r="J12" s="288">
        <f>D12*'System Config'!I17*'System Config'!I18</f>
        <v>0.63000000000000012</v>
      </c>
      <c r="K12" s="288">
        <f>E12*'System Config'!I17*'System Config'!I18</f>
        <v>0.16500000000000004</v>
      </c>
      <c r="L12" s="288">
        <f>F12*'System Config'!I17*'System Config'!I18</f>
        <v>0.79500000000000004</v>
      </c>
      <c r="M12" s="121" t="s">
        <v>8</v>
      </c>
      <c r="N12" s="62"/>
      <c r="O12" s="56" t="s">
        <v>90</v>
      </c>
      <c r="P12" s="289">
        <f xml:space="preserve">      J12         * 'System Config'!I7 /'DDR4 Config'!D15</f>
        <v>0.60000000000000009</v>
      </c>
      <c r="Q12" s="289">
        <f xml:space="preserve">      K12   * 'System Config'!I8 /'DDR4 Config'!D17</f>
        <v>0.15000000000000002</v>
      </c>
      <c r="R12" s="288">
        <f t="shared" ref="R12:R23" si="0">P12+Q12</f>
        <v>0.75000000000000011</v>
      </c>
      <c r="S12" s="121" t="s">
        <v>8</v>
      </c>
      <c r="T12" s="20"/>
    </row>
    <row r="13" spans="2:25" ht="25.5" customHeight="1">
      <c r="B13" s="293" t="s">
        <v>71</v>
      </c>
      <c r="C13" s="296" t="s">
        <v>58</v>
      </c>
      <c r="D13" s="280">
        <f>+'DDR4 Config'!D26*'DDR4 Config'!D$15</f>
        <v>44.1</v>
      </c>
      <c r="E13" s="280">
        <f>+'DDR4 Config'!D29*'DDR4 Config'!D$17</f>
        <v>8.25</v>
      </c>
      <c r="F13" s="287">
        <f t="shared" ref="F13:F23" si="1">D13+E13</f>
        <v>52.35</v>
      </c>
      <c r="G13" s="152" t="s">
        <v>8</v>
      </c>
      <c r="I13" s="56" t="s">
        <v>103</v>
      </c>
      <c r="J13" s="289">
        <f>D13*'System Config'!I17*(1-'System Config'!I18)</f>
        <v>7.9380000000000006</v>
      </c>
      <c r="K13" s="289">
        <f>E13*'System Config'!I17*(1-'System Config'!I18)</f>
        <v>1.4850000000000001</v>
      </c>
      <c r="L13" s="288">
        <f>F13*'System Config'!I17*(1-'System Config'!I18)</f>
        <v>9.423</v>
      </c>
      <c r="M13" s="121" t="s">
        <v>8</v>
      </c>
      <c r="N13" s="62"/>
      <c r="O13" s="56" t="s">
        <v>91</v>
      </c>
      <c r="P13" s="289">
        <f xml:space="preserve">  J13         * 'System Config'!I7 /'DDR4 Config'!D15    *   'System Config'!I$9/1000*'DDR4 Config'!D$37</f>
        <v>7.5618904726181553</v>
      </c>
      <c r="Q13" s="289">
        <f>K13  * 'System Config'!I8 /'DDR4 Config'!D17    *   'System Config'!I$9/1000*'DDR4 Config'!D$37</f>
        <v>1.3503375843960992</v>
      </c>
      <c r="R13" s="288">
        <f t="shared" si="0"/>
        <v>8.9122280570142536</v>
      </c>
      <c r="S13" s="121" t="s">
        <v>8</v>
      </c>
      <c r="T13" s="20"/>
    </row>
    <row r="14" spans="2:25" ht="25.5" customHeight="1">
      <c r="B14" s="293" t="s">
        <v>3</v>
      </c>
      <c r="C14" s="296" t="s">
        <v>59</v>
      </c>
      <c r="D14" s="280">
        <f>+'DDR4 Config'!D27*'DDR4 Config'!D$15</f>
        <v>49.14</v>
      </c>
      <c r="E14" s="280">
        <f xml:space="preserve"> +'DDR4 Config'!D29*'DDR4 Config'!D$17</f>
        <v>8.25</v>
      </c>
      <c r="F14" s="287">
        <f t="shared" si="1"/>
        <v>57.39</v>
      </c>
      <c r="G14" s="152" t="s">
        <v>8</v>
      </c>
      <c r="I14" s="56" t="s">
        <v>104</v>
      </c>
      <c r="J14" s="289">
        <f>D14*(1-'System Config'!I17)*'System Config'!I19</f>
        <v>3.9312000000000005</v>
      </c>
      <c r="K14" s="289">
        <f>E14*(1-'System Config'!I17)*'System Config'!I19</f>
        <v>0.66000000000000014</v>
      </c>
      <c r="L14" s="288">
        <f>F14*(1-'System Config'!I17)*'System Config'!I19</f>
        <v>4.5912000000000006</v>
      </c>
      <c r="M14" s="121" t="s">
        <v>8</v>
      </c>
      <c r="N14" s="62"/>
      <c r="O14" s="56" t="s">
        <v>92</v>
      </c>
      <c r="P14" s="289">
        <f>J14*'System Config'!I7/'DDR4 Config'!D15*'System Config'!I$9/1000*'DDR4 Config'!D$37</f>
        <v>3.7449362340585157</v>
      </c>
      <c r="Q14" s="289">
        <f xml:space="preserve"> K14  * 'System Config'!I8 /'DDR4 Config'!D17   *'System Config'!I$9/1000*'DDR4 Config'!D$37</f>
        <v>0.60015003750937745</v>
      </c>
      <c r="R14" s="288">
        <f t="shared" si="0"/>
        <v>4.3450862715678928</v>
      </c>
      <c r="S14" s="121" t="s">
        <v>8</v>
      </c>
      <c r="T14" s="20"/>
    </row>
    <row r="15" spans="2:25" ht="25.5" customHeight="1">
      <c r="B15" s="293" t="s">
        <v>72</v>
      </c>
      <c r="C15" s="296" t="s">
        <v>60</v>
      </c>
      <c r="D15" s="280">
        <f>+'DDR4 Config'!D28*'DDR4 Config'!D$15</f>
        <v>57.96</v>
      </c>
      <c r="E15" s="280">
        <f xml:space="preserve">  +'DDR4 Config'!D29*'DDR4 Config'!D$17</f>
        <v>8.25</v>
      </c>
      <c r="F15" s="287">
        <f t="shared" si="1"/>
        <v>66.210000000000008</v>
      </c>
      <c r="G15" s="152" t="s">
        <v>8</v>
      </c>
      <c r="I15" s="56" t="s">
        <v>105</v>
      </c>
      <c r="J15" s="289">
        <f>D15*(1-'System Config'!I17)*(1-'System Config'!I19)</f>
        <v>41.731200000000001</v>
      </c>
      <c r="K15" s="289">
        <f>E15*(1-'System Config'!I17)*(1-'System Config'!I19)</f>
        <v>5.94</v>
      </c>
      <c r="L15" s="288">
        <f>F15*(1-'System Config'!I17)*(1-'System Config'!I19)</f>
        <v>47.671200000000013</v>
      </c>
      <c r="M15" s="121" t="s">
        <v>8</v>
      </c>
      <c r="N15" s="62"/>
      <c r="O15" s="56" t="s">
        <v>93</v>
      </c>
      <c r="P15" s="289">
        <f>J15*'System Config'!I7/'DDR4 Config'!D15*'System Config'!I$9/1000*'DDR4 Config'!D$37</f>
        <v>39.753938484621159</v>
      </c>
      <c r="Q15" s="289">
        <f xml:space="preserve"> K15  * 'System Config'!I8 /'DDR4 Config'!D17 *'System Config'!I$9/1000*'DDR4 Config'!D$37</f>
        <v>5.4013503375843968</v>
      </c>
      <c r="R15" s="288">
        <f t="shared" si="0"/>
        <v>45.155288822205556</v>
      </c>
      <c r="S15" s="121" t="s">
        <v>8</v>
      </c>
      <c r="T15" s="20"/>
    </row>
    <row r="16" spans="2:25" ht="25.5" customHeight="1">
      <c r="B16" s="293" t="s">
        <v>15</v>
      </c>
      <c r="C16" s="296" t="s">
        <v>61</v>
      </c>
      <c r="D16" s="280">
        <f>(('DDR4 Config'!D34-'DDR4 Config'!D28)*'DDR4 Config'!D42/'DDR4 Config'!D43/1000)*'DDR4 Config'!D15</f>
        <v>18.617307692307691</v>
      </c>
      <c r="E16" s="280">
        <f xml:space="preserve"> + ( ('DDR4 Config'!D35 -'DDR4 Config'!D29)*'DDR4 Config'!D42/'DDR4 Config'!D43/1000)*'DDR4 Config'!D17</f>
        <v>5.5</v>
      </c>
      <c r="F16" s="287">
        <f t="shared" si="1"/>
        <v>24.117307692307691</v>
      </c>
      <c r="G16" s="152" t="s">
        <v>8</v>
      </c>
      <c r="I16" s="56" t="s">
        <v>106</v>
      </c>
      <c r="J16" s="288">
        <f t="shared" ref="J16:K16" si="2">D16</f>
        <v>18.617307692307691</v>
      </c>
      <c r="K16" s="288">
        <f t="shared" si="2"/>
        <v>5.5</v>
      </c>
      <c r="L16" s="288">
        <f>F16</f>
        <v>24.117307692307691</v>
      </c>
      <c r="M16" s="121" t="s">
        <v>8</v>
      </c>
      <c r="N16" s="62"/>
      <c r="O16" s="56" t="s">
        <v>94</v>
      </c>
      <c r="P16" s="289">
        <f>J16*'System Config'!I7/'DDR4 Config'!D15</f>
        <v>17.73076923076923</v>
      </c>
      <c r="Q16" s="289">
        <f xml:space="preserve"> K16  * 'System Config'!I8 /'DDR4 Config'!D17</f>
        <v>5</v>
      </c>
      <c r="R16" s="288">
        <f t="shared" si="0"/>
        <v>22.73076923076923</v>
      </c>
      <c r="S16" s="121" t="s">
        <v>8</v>
      </c>
      <c r="T16" s="20"/>
    </row>
    <row r="17" spans="2:25" ht="25.5" customHeight="1">
      <c r="B17" s="294" t="s">
        <v>14</v>
      </c>
      <c r="C17" s="296" t="s">
        <v>62</v>
      </c>
      <c r="D17" s="280">
        <f>('DDR4 Config'!D23-('DDR4 Config'!D28*'DDR4 Config'!D41/'DDR4 Config'!D40+'DDR4 Config'!D26*('DDR4 Config'!D40-'DDR4 Config'!D41)/'DDR4 Config'!D40))*'DDR4 Config'!D$15</f>
        <v>10.551681109185443</v>
      </c>
      <c r="E17" s="360">
        <f>IF('DDR4 Config'!D24&gt; 'DDR4 Config'!D29,          ('DDR4 Config'!D24-('DDR4 Config'!D29*'DDR4 Config'!D41/'DDR4 Config'!D40+'DDR4 Config'!D29*('DDR4 Config'!D40-'DDR4 Config'!D41)/'DDR4 Config'!D40))*'DDR4 Config'!D$17,    ('DDR4 Config'!D24-('DDR4 Config'!D29  *(0.8)  *'DDR4 Config'!D41/'DDR4 Config'!D40+'DDR4 Config'!D29  *(0.8)  *('DDR4 Config'!D40-'DDR4 Config'!D41)/'DDR4 Config'!D40))*'DDR4 Config'!D$17)</f>
        <v>1.649999999999999</v>
      </c>
      <c r="F17" s="287">
        <f t="shared" si="1"/>
        <v>12.201681109185442</v>
      </c>
      <c r="G17" s="152" t="s">
        <v>8</v>
      </c>
      <c r="I17" s="56" t="s">
        <v>107</v>
      </c>
      <c r="J17" s="289">
        <f>+D17*'DDR4 Config'!D40/'System Config'!I31</f>
        <v>32.471040000000002</v>
      </c>
      <c r="K17" s="289">
        <f>+E17*'DDR4 Config'!D40/'System Config'!I31</f>
        <v>5.0775999999999959</v>
      </c>
      <c r="L17" s="288">
        <f>+F17*'DDR4 Config'!D40/'System Config'!I31</f>
        <v>37.548639999999999</v>
      </c>
      <c r="M17" s="121" t="s">
        <v>8</v>
      </c>
      <c r="N17" s="62"/>
      <c r="O17" s="56" t="s">
        <v>95</v>
      </c>
      <c r="P17" s="289">
        <f>J17*'System Config'!I7/'DDR4 Config'!D15</f>
        <v>30.924800000000001</v>
      </c>
      <c r="Q17" s="289">
        <f xml:space="preserve"> K17  * 'System Config'!I8 /'DDR4 Config'!D17</f>
        <v>4.6159999999999961</v>
      </c>
      <c r="R17" s="288">
        <f t="shared" si="0"/>
        <v>35.540799999999997</v>
      </c>
      <c r="S17" s="121" t="s">
        <v>8</v>
      </c>
      <c r="T17" s="20"/>
    </row>
    <row r="18" spans="2:25" ht="25.5" customHeight="1">
      <c r="B18" s="293" t="s">
        <v>13</v>
      </c>
      <c r="C18" s="296" t="s">
        <v>63</v>
      </c>
      <c r="D18" s="280">
        <f xml:space="preserve">    ('DDR4 Config'!D32-'DDR4 Config'!D$28)*'DDR4 Config'!D$15*'System Config'!I10/8</f>
        <v>108.36</v>
      </c>
      <c r="E18" s="280">
        <f xml:space="preserve">     IF(  ('DDR4 Config'!D31-'DDR4 Config'!D$29)&gt;0,  'DDR4 Config'!D31-'DDR4 Config'!D$29, 0) *'DDR4 Config'!D$17*'System Config'!I10/8</f>
        <v>0</v>
      </c>
      <c r="F18" s="287">
        <f t="shared" si="1"/>
        <v>108.36</v>
      </c>
      <c r="G18" s="152" t="s">
        <v>8</v>
      </c>
      <c r="I18" s="56" t="s">
        <v>108</v>
      </c>
      <c r="J18" s="289">
        <f>+D18*'System Config'!I25</f>
        <v>16.253999999999998</v>
      </c>
      <c r="K18" s="289">
        <f>+E18*'System Config'!I25</f>
        <v>0</v>
      </c>
      <c r="L18" s="288">
        <f>+F18*'System Config'!I25</f>
        <v>16.253999999999998</v>
      </c>
      <c r="M18" s="121" t="s">
        <v>8</v>
      </c>
      <c r="N18" s="62"/>
      <c r="O18" s="56" t="s">
        <v>96</v>
      </c>
      <c r="P18" s="289">
        <f>J18*'System Config'!I7/'DDR4 Config'!D15 *'System Config'!I$9/1000*'DDR4 Config'!D$37</f>
        <v>15.483870967741934</v>
      </c>
      <c r="Q18" s="289">
        <f>K18*'System Config'!I7/'DDR4 Config'!D15 *'System Config'!I$9/1000*'DDR4 Config'!D$37</f>
        <v>0</v>
      </c>
      <c r="R18" s="288">
        <f t="shared" si="0"/>
        <v>15.483870967741934</v>
      </c>
      <c r="S18" s="121" t="s">
        <v>8</v>
      </c>
      <c r="T18" s="20"/>
    </row>
    <row r="19" spans="2:25" ht="25.5" customHeight="1">
      <c r="B19" s="293" t="s">
        <v>53</v>
      </c>
      <c r="C19" s="296" t="s">
        <v>64</v>
      </c>
      <c r="D19" s="280">
        <f>+('DDR4 Config'!D30-'DDR4 Config'!D$28)*'DDR4 Config'!D$15*'System Config'!I10/8</f>
        <v>126</v>
      </c>
      <c r="E19" s="280">
        <f xml:space="preserve">     IF(  ('DDR4 Config'!D33-'DDR4 Config'!D$29)&gt;0,  'DDR4 Config'!D33-'DDR4 Config'!D$29, 0) *'DDR4 Config'!D$17*'System Config'!I10/8</f>
        <v>0</v>
      </c>
      <c r="F19" s="287">
        <f t="shared" si="1"/>
        <v>126</v>
      </c>
      <c r="G19" s="152" t="s">
        <v>8</v>
      </c>
      <c r="I19" s="56" t="s">
        <v>109</v>
      </c>
      <c r="J19" s="289">
        <f>+D19*'System Config'!I23</f>
        <v>31.5</v>
      </c>
      <c r="K19" s="289">
        <f>+E19*'System Config'!I23</f>
        <v>0</v>
      </c>
      <c r="L19" s="288">
        <f>+F19*'System Config'!I23</f>
        <v>31.5</v>
      </c>
      <c r="M19" s="121" t="s">
        <v>8</v>
      </c>
      <c r="N19" s="62"/>
      <c r="O19" s="56" t="s">
        <v>97</v>
      </c>
      <c r="P19" s="289">
        <f>J19*'System Config'!I7/'DDR4 Config'!D15 *'System Config'!I$9/1000*'DDR4 Config'!D$37</f>
        <v>30.007501875468865</v>
      </c>
      <c r="Q19" s="289">
        <f>K19*'System Config'!I7/'DDR4 Config'!D15 *'System Config'!I$9/1000*'DDR4 Config'!D$37</f>
        <v>0</v>
      </c>
      <c r="R19" s="288">
        <f t="shared" si="0"/>
        <v>30.007501875468865</v>
      </c>
      <c r="S19" s="121" t="s">
        <v>8</v>
      </c>
      <c r="T19" s="20"/>
    </row>
    <row r="20" spans="2:25" ht="25.5" customHeight="1">
      <c r="B20" s="293" t="s">
        <v>54</v>
      </c>
      <c r="C20" s="296" t="s">
        <v>65</v>
      </c>
      <c r="D20" s="280">
        <f>IF('DDR4 Config'!D$10 = 1,'System Config'!I12*'System Config'!I24*('DDR4 Config'!D$8+'DDR4 Config'!D20),  IF('DDR4 Config'!D$10 = 2,1*'System Config'!I12*'System Config'!I24*('DDR4 Config'!D$8/2+'DDR4 Config'!D20),    "error"))</f>
        <v>117.31151536607615</v>
      </c>
      <c r="E20" s="356">
        <v>0</v>
      </c>
      <c r="F20" s="287">
        <f t="shared" si="1"/>
        <v>117.31151536607615</v>
      </c>
      <c r="G20" s="152" t="s">
        <v>8</v>
      </c>
      <c r="I20" s="56" t="s">
        <v>110</v>
      </c>
      <c r="J20" s="289">
        <f>+D20*'System Config'!I23</f>
        <v>29.327878841519038</v>
      </c>
      <c r="K20" s="358">
        <f>+E20*'System Config'!I23</f>
        <v>0</v>
      </c>
      <c r="L20" s="288">
        <f>+F20*'System Config'!I23</f>
        <v>29.327878841519038</v>
      </c>
      <c r="M20" s="121" t="s">
        <v>8</v>
      </c>
      <c r="N20" s="62"/>
      <c r="O20" s="56" t="s">
        <v>98</v>
      </c>
      <c r="P20" s="289">
        <f>J20*('System Config'!I$7/'DDR4 Config'!D$15) *'System Config'!I$9/1000*'DDR4 Config'!D$37</f>
        <v>27.938297756838288</v>
      </c>
      <c r="Q20" s="358">
        <v>0</v>
      </c>
      <c r="R20" s="288">
        <f t="shared" si="0"/>
        <v>27.938297756838288</v>
      </c>
      <c r="S20" s="121" t="s">
        <v>8</v>
      </c>
      <c r="T20" s="20"/>
    </row>
    <row r="21" spans="2:25" ht="25.5" customHeight="1">
      <c r="B21" s="294" t="s">
        <v>25</v>
      </c>
      <c r="C21" s="296" t="s">
        <v>66</v>
      </c>
      <c r="D21" s="280">
        <f>IF('DDR4 Config'!D$10=1,('System Config'!I13*'System Config'!I26*('DDR4 Config'!D$8+'DDR4 Config'!D$20+'DDR4 Config'!D$21)),IF('DDR4 Config'!D$10=2,('System Config'!I13*'System Config'!I26*(('DDR4 Config'!D$8+1)/2+'DDR4 Config'!D$20+'DDR4 Config'!D$21)),"error"))</f>
        <v>45.628530139204493</v>
      </c>
      <c r="E21" s="356">
        <v>0</v>
      </c>
      <c r="F21" s="287">
        <f t="shared" si="1"/>
        <v>45.628530139204493</v>
      </c>
      <c r="G21" s="152" t="s">
        <v>8</v>
      </c>
      <c r="I21" s="56" t="s">
        <v>111</v>
      </c>
      <c r="J21" s="289">
        <f>+D21*'System Config'!I25</f>
        <v>6.8442795208806739</v>
      </c>
      <c r="K21" s="358">
        <f>+E21*'System Config'!I25</f>
        <v>0</v>
      </c>
      <c r="L21" s="288">
        <f>+F21*'System Config'!I25</f>
        <v>6.8442795208806739</v>
      </c>
      <c r="M21" s="121" t="s">
        <v>8</v>
      </c>
      <c r="N21" s="62"/>
      <c r="O21" s="56" t="s">
        <v>99</v>
      </c>
      <c r="P21" s="289">
        <f>J21*('System Config'!I$7/'DDR4 Config'!D$15) *'System Config'!I$9/1000*'DDR4 Config'!D$37</f>
        <v>6.5199914463193629</v>
      </c>
      <c r="Q21" s="358">
        <v>0</v>
      </c>
      <c r="R21" s="288">
        <f t="shared" si="0"/>
        <v>6.5199914463193629</v>
      </c>
      <c r="S21" s="121" t="s">
        <v>8</v>
      </c>
      <c r="T21" s="20"/>
    </row>
    <row r="22" spans="2:25" ht="25.5" customHeight="1">
      <c r="B22" s="293" t="s">
        <v>79</v>
      </c>
      <c r="C22" s="296" t="s">
        <v>67</v>
      </c>
      <c r="D22" s="280">
        <f xml:space="preserve">  IF('DDR4 Config'!D$10=1,  ('System Config'!I14*('DDR4 Config'!D$8+'DDR4 Config'!D$20)),   IF('DDR4 Config'!D$10=2,    ('System Config'!I14*('DDR4 Config'!D$8+1+'DDR4 Config'!D$20)), "error"))</f>
        <v>39.981073242466721</v>
      </c>
      <c r="E22" s="356">
        <v>0</v>
      </c>
      <c r="F22" s="287">
        <f t="shared" si="1"/>
        <v>39.981073242466721</v>
      </c>
      <c r="G22" s="152" t="s">
        <v>8</v>
      </c>
      <c r="I22" s="56" t="s">
        <v>112</v>
      </c>
      <c r="J22" s="289">
        <f>+D22*'System Config'!I28</f>
        <v>5.9971609863700079</v>
      </c>
      <c r="K22" s="358">
        <f>+E22*'System Config'!I28</f>
        <v>0</v>
      </c>
      <c r="L22" s="288">
        <f>+F22*'System Config'!I28</f>
        <v>5.9971609863700079</v>
      </c>
      <c r="M22" s="121" t="s">
        <v>8</v>
      </c>
      <c r="N22" s="62"/>
      <c r="O22" s="56" t="s">
        <v>100</v>
      </c>
      <c r="P22" s="289">
        <f>J22*('System Config'!I$7/'DDR4 Config'!D$15) *'System Config'!I$9/1000*'DDR4 Config'!D$37</f>
        <v>5.7130101443170389</v>
      </c>
      <c r="Q22" s="358">
        <v>0</v>
      </c>
      <c r="R22" s="288">
        <f t="shared" si="0"/>
        <v>5.7130101443170389</v>
      </c>
      <c r="S22" s="121" t="s">
        <v>8</v>
      </c>
      <c r="T22" s="20"/>
    </row>
    <row r="23" spans="2:25" ht="25.5" customHeight="1" thickBot="1">
      <c r="B23" s="295" t="s">
        <v>28</v>
      </c>
      <c r="C23" s="297" t="s">
        <v>68</v>
      </c>
      <c r="D23" s="281">
        <f xml:space="preserve">  IF('DDR4 Config'!D$10=1, ('System Config'!I15*('DDR4 Config'!D$8+'DDR4 Config'!D$20+'DDR4 Config'!D$21)),   IF('DDR4 Config'!D$10=2,    ('System Config'!I14*('DDR4 Config'!D$8+1+'DDR4 Config'!D$20+'DDR4 Config'!D$21)), "error"))</f>
        <v>70.802891595317305</v>
      </c>
      <c r="E23" s="357">
        <v>0</v>
      </c>
      <c r="F23" s="298">
        <f t="shared" si="1"/>
        <v>70.802891595317305</v>
      </c>
      <c r="G23" s="153" t="s">
        <v>8</v>
      </c>
      <c r="I23" s="67" t="s">
        <v>113</v>
      </c>
      <c r="J23" s="290">
        <f>+D23*'System Config'!I29</f>
        <v>17.700722898829326</v>
      </c>
      <c r="K23" s="359">
        <f>+E23*'System Config'!I29</f>
        <v>0</v>
      </c>
      <c r="L23" s="291">
        <f>+F23*'System Config'!I29</f>
        <v>17.700722898829326</v>
      </c>
      <c r="M23" s="122" t="s">
        <v>8</v>
      </c>
      <c r="N23" s="62"/>
      <c r="O23" s="67" t="s">
        <v>101</v>
      </c>
      <c r="P23" s="290">
        <f>J23*('System Config'!I$7/'DDR4 Config'!D$15) *'System Config'!I$9/1000*'DDR4 Config'!D$37</f>
        <v>16.862046843929388</v>
      </c>
      <c r="Q23" s="359">
        <v>0</v>
      </c>
      <c r="R23" s="291">
        <f t="shared" si="0"/>
        <v>16.862046843929388</v>
      </c>
      <c r="S23" s="122" t="s">
        <v>8</v>
      </c>
      <c r="T23" s="20"/>
    </row>
    <row r="24" spans="2:25" ht="13.5" thickBot="1">
      <c r="B24" s="62"/>
      <c r="C24" s="62"/>
      <c r="D24" s="62"/>
      <c r="E24" s="62"/>
      <c r="F24" s="62"/>
      <c r="G24" s="60"/>
      <c r="I24" s="62"/>
      <c r="J24" s="62"/>
      <c r="K24" s="62"/>
      <c r="L24" s="62"/>
      <c r="M24" s="60"/>
      <c r="N24" s="62"/>
      <c r="O24" s="62"/>
      <c r="P24" s="62"/>
      <c r="Q24" s="62"/>
      <c r="R24" s="62"/>
      <c r="S24" s="60"/>
    </row>
    <row r="25" spans="2:25" s="5" customFormat="1" ht="18.95" customHeight="1" thickBot="1">
      <c r="B25" s="49"/>
      <c r="C25" s="49"/>
      <c r="D25" s="116"/>
      <c r="E25" s="116"/>
      <c r="F25" s="116"/>
      <c r="G25" s="123"/>
      <c r="H25" s="4"/>
      <c r="I25" s="49"/>
      <c r="J25" s="49"/>
      <c r="K25" s="49"/>
      <c r="L25" s="55"/>
      <c r="M25" s="123"/>
      <c r="N25" s="49"/>
      <c r="O25" s="154" t="s">
        <v>0</v>
      </c>
      <c r="P25" s="154"/>
      <c r="Q25" s="154"/>
      <c r="R25" s="117">
        <f>SUM(R12:R21)</f>
        <v>197.38383442792536</v>
      </c>
      <c r="S25" s="124" t="s">
        <v>8</v>
      </c>
      <c r="U25" s="4"/>
      <c r="V25" s="4"/>
      <c r="W25" s="4"/>
      <c r="X25" s="4"/>
      <c r="Y25" s="4"/>
    </row>
    <row r="26" spans="2:25" ht="16.5" thickBot="1">
      <c r="L26" s="55"/>
      <c r="M26" s="123"/>
      <c r="N26" s="49"/>
      <c r="O26" s="154" t="s">
        <v>217</v>
      </c>
      <c r="P26" s="154"/>
      <c r="Q26" s="154"/>
      <c r="R26" s="117">
        <f>SUM(R22:R23)</f>
        <v>22.575056988246427</v>
      </c>
      <c r="S26" s="124" t="s">
        <v>8</v>
      </c>
    </row>
    <row r="28" spans="2:25" ht="29.25" customHeight="1">
      <c r="L28" s="421"/>
      <c r="M28" s="421"/>
      <c r="R28" s="421"/>
      <c r="S28" s="421"/>
    </row>
    <row r="29" spans="2:25" hidden="1"/>
    <row r="30" spans="2:25" hidden="1">
      <c r="B30" s="4" t="s">
        <v>7</v>
      </c>
      <c r="D30" s="4" t="str">
        <f>'System Config'!H8</f>
        <v>System VPP</v>
      </c>
      <c r="E30" s="4">
        <f>'System Config'!I8</f>
        <v>2.5</v>
      </c>
    </row>
    <row r="31" spans="2:25" hidden="1">
      <c r="B31" s="4" t="s">
        <v>49</v>
      </c>
      <c r="D31" s="4" t="str">
        <f>'System Config'!H9</f>
        <v>System CK frequency (data rate /2)</v>
      </c>
      <c r="E31" s="4">
        <f>'System Config'!I9</f>
        <v>1333.3333333333333</v>
      </c>
    </row>
    <row r="32" spans="2:25" hidden="1"/>
    <row r="33" spans="2:5" hidden="1">
      <c r="B33" s="4" t="s">
        <v>50</v>
      </c>
    </row>
    <row r="34" spans="2:5" hidden="1">
      <c r="B34" s="4" t="s">
        <v>42</v>
      </c>
      <c r="D34" s="4" t="str">
        <f>'DDR4 Config'!C7</f>
        <v>DRAM Density</v>
      </c>
      <c r="E34" s="4" t="str">
        <f>'DDR4 Config'!D7</f>
        <v>8Gb</v>
      </c>
    </row>
    <row r="35" spans="2:5" hidden="1">
      <c r="B35" s="4" t="s">
        <v>51</v>
      </c>
      <c r="D35" s="4" t="str">
        <f>'DDR4 Config'!C8</f>
        <v>DRAM Width (Number of DQs per )</v>
      </c>
      <c r="E35" s="4">
        <f>'DDR4 Config'!D8</f>
        <v>8</v>
      </c>
    </row>
    <row r="36" spans="2:5" hidden="1">
      <c r="B36" s="4" t="s">
        <v>43</v>
      </c>
      <c r="D36" s="4" t="str">
        <f>'DDR4 Config'!C9</f>
        <v>Speed Grade</v>
      </c>
      <c r="E36" s="4" t="str">
        <f>'DDR4 Config'!D9</f>
        <v>-075E</v>
      </c>
    </row>
    <row r="37" spans="2:5" hidden="1"/>
  </sheetData>
  <mergeCells count="2">
    <mergeCell ref="L28:M28"/>
    <mergeCell ref="R28:S28"/>
  </mergeCells>
  <phoneticPr fontId="0" type="noConversion"/>
  <printOptions horizontalCentered="1"/>
  <pageMargins left="0.25" right="0.25" top="0.25" bottom="0.25" header="0.5" footer="0.5"/>
  <pageSetup scale="7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sheetPr>
    <pageSetUpPr fitToPage="1"/>
  </sheetPr>
  <dimension ref="A1:R63"/>
  <sheetViews>
    <sheetView showGridLines="0" workbookViewId="0">
      <selection activeCell="S1" sqref="P1:S1048576"/>
    </sheetView>
  </sheetViews>
  <sheetFormatPr defaultColWidth="8.85546875" defaultRowHeight="12.75"/>
  <cols>
    <col min="1" max="1" width="3" customWidth="1"/>
    <col min="2" max="2" width="4.85546875" customWidth="1"/>
    <col min="3" max="3" width="32" customWidth="1"/>
    <col min="14" max="15" width="9.28515625" customWidth="1"/>
    <col min="16" max="18" width="10.85546875" style="33" customWidth="1"/>
  </cols>
  <sheetData>
    <row r="1" spans="1:18">
      <c r="A1" s="27"/>
    </row>
    <row r="5" spans="1:18" ht="23.25">
      <c r="A5" s="127" t="str">
        <f>CONCATENATE('DDR4 Config'!D7," DDR4 SDRAM with ",'DDR4 Config'!D8," DQs and a ",'DDR4 Config'!D9," Speed Grade", ","," ", IF( 'DDR4 Config'!D$10= 1, "DBI not enabled", IF('DDR4 Config'!D$10=2, "DBI enabled", "DBI selection is wrong")))</f>
        <v>8Gb DDR4 SDRAM with 8 DQs and a -075E Speed Grade, DBI not enabled</v>
      </c>
      <c r="B5" s="127"/>
      <c r="C5" s="127"/>
      <c r="D5" s="127"/>
      <c r="E5" s="127"/>
      <c r="F5" s="127"/>
      <c r="G5" s="127"/>
      <c r="H5" s="127"/>
      <c r="I5" s="127"/>
      <c r="J5" s="127"/>
      <c r="K5" s="127"/>
      <c r="L5" s="127"/>
      <c r="M5" s="127"/>
    </row>
    <row r="6" spans="1:18" ht="5.25" customHeight="1"/>
    <row r="7" spans="1:18" s="3" customFormat="1" ht="48" customHeight="1" thickBot="1">
      <c r="A7" s="125"/>
      <c r="B7" s="125"/>
      <c r="C7" s="424" t="str">
        <f>CONCATENATE(A49," ",A50," ",A51," All parameters are calculated and require no user input.")</f>
        <v>System is operating at 1333.33333333333 MHz clock with VDD = 2.5V. Read bandwidth is 666.7 MT/s with write bandwidth of 400 MT/s. The DRAM terminates  1066.7 MT/s. ACT commands are separated by 15ns on average. All parameters are calculated and require no user input.</v>
      </c>
      <c r="D7" s="425"/>
      <c r="E7" s="425"/>
      <c r="F7" s="425"/>
      <c r="G7" s="425"/>
      <c r="H7" s="425"/>
      <c r="I7" s="425"/>
      <c r="J7" s="425"/>
      <c r="K7" s="425"/>
      <c r="L7" s="425"/>
      <c r="M7" s="126"/>
      <c r="P7" s="366"/>
      <c r="Q7" s="366"/>
      <c r="R7" s="366"/>
    </row>
    <row r="8" spans="1:18" s="41" customFormat="1" ht="27" customHeight="1" thickBot="1">
      <c r="A8" s="156"/>
      <c r="B8" s="422" t="s">
        <v>221</v>
      </c>
      <c r="C8" s="423"/>
      <c r="D8" s="423"/>
      <c r="E8" s="423"/>
      <c r="F8" s="157"/>
      <c r="G8" s="157"/>
      <c r="H8" s="157"/>
      <c r="I8" s="157"/>
      <c r="J8" s="157"/>
      <c r="K8" s="157"/>
      <c r="L8" s="157"/>
      <c r="M8" s="157"/>
      <c r="N8" s="157"/>
      <c r="O8" s="158"/>
      <c r="P8" s="43"/>
      <c r="Q8" s="43"/>
      <c r="R8" s="43"/>
    </row>
    <row r="9" spans="1:18" ht="15" thickBot="1">
      <c r="A9" s="159"/>
      <c r="B9" s="332"/>
      <c r="C9" s="333"/>
      <c r="D9" s="335" t="s">
        <v>344</v>
      </c>
      <c r="E9" s="336" t="s">
        <v>342</v>
      </c>
      <c r="F9" s="337" t="s">
        <v>343</v>
      </c>
      <c r="G9" s="334"/>
      <c r="H9" s="2"/>
      <c r="I9" s="2"/>
      <c r="J9" s="2"/>
      <c r="K9" s="2"/>
      <c r="L9" s="2"/>
      <c r="M9" s="2"/>
      <c r="N9" s="2"/>
      <c r="O9" s="160"/>
    </row>
    <row r="10" spans="1:18" ht="14.25">
      <c r="A10" s="159"/>
      <c r="B10" s="184" t="s">
        <v>224</v>
      </c>
      <c r="C10" s="185"/>
      <c r="D10" s="186">
        <f>'Power Calcs'!R17</f>
        <v>35.540799999999997</v>
      </c>
      <c r="E10" s="186">
        <f>'Power Calcs'!P17</f>
        <v>30.924800000000001</v>
      </c>
      <c r="F10" s="186">
        <f>'Power Calcs'!Q17</f>
        <v>4.6159999999999961</v>
      </c>
      <c r="G10" s="187" t="s">
        <v>8</v>
      </c>
      <c r="H10" s="2"/>
      <c r="I10" s="2"/>
      <c r="J10" s="2"/>
      <c r="K10" s="2"/>
      <c r="L10" s="2"/>
      <c r="M10" s="2"/>
      <c r="N10" s="2"/>
      <c r="O10" s="160"/>
    </row>
    <row r="11" spans="1:18" ht="15">
      <c r="A11" s="159"/>
      <c r="B11" s="180"/>
      <c r="C11" s="181" t="s">
        <v>367</v>
      </c>
      <c r="D11" s="182">
        <f>D10</f>
        <v>35.540799999999997</v>
      </c>
      <c r="E11" s="182">
        <f>E10</f>
        <v>30.924800000000001</v>
      </c>
      <c r="F11" s="182">
        <f>F10</f>
        <v>4.6159999999999961</v>
      </c>
      <c r="G11" s="183" t="s">
        <v>8</v>
      </c>
      <c r="H11" s="2"/>
      <c r="I11" s="2"/>
      <c r="J11" s="341" t="s">
        <v>370</v>
      </c>
      <c r="K11" s="155">
        <f>$E$11</f>
        <v>30.924800000000001</v>
      </c>
      <c r="L11" s="2"/>
      <c r="M11" s="2"/>
      <c r="N11" s="2"/>
      <c r="O11" s="160"/>
    </row>
    <row r="12" spans="1:18" ht="14.25">
      <c r="A12" s="159"/>
      <c r="B12" s="188" t="s">
        <v>226</v>
      </c>
      <c r="C12" s="189"/>
      <c r="D12" s="190">
        <f>'Power Calcs'!R19</f>
        <v>30.007501875468865</v>
      </c>
      <c r="E12" s="190">
        <f>'Power Calcs'!P19</f>
        <v>30.007501875468865</v>
      </c>
      <c r="F12" s="190">
        <f>'Power Calcs'!Q19</f>
        <v>0</v>
      </c>
      <c r="G12" s="191" t="s">
        <v>8</v>
      </c>
      <c r="H12" s="2"/>
      <c r="I12" s="2"/>
      <c r="J12" s="341" t="s">
        <v>371</v>
      </c>
      <c r="K12" s="155">
        <f>$F$11</f>
        <v>4.6159999999999961</v>
      </c>
      <c r="L12" s="2"/>
      <c r="M12" s="2"/>
      <c r="N12" s="2"/>
      <c r="O12" s="160"/>
    </row>
    <row r="13" spans="1:18" ht="14.25">
      <c r="A13" s="159"/>
      <c r="B13" s="188" t="s">
        <v>225</v>
      </c>
      <c r="C13" s="189"/>
      <c r="D13" s="190">
        <f>'Power Calcs'!R18</f>
        <v>15.483870967741934</v>
      </c>
      <c r="E13" s="190">
        <f>'Power Calcs'!P18</f>
        <v>15.483870967741934</v>
      </c>
      <c r="F13" s="190">
        <f>'Power Calcs'!Q18</f>
        <v>0</v>
      </c>
      <c r="G13" s="191" t="s">
        <v>8</v>
      </c>
      <c r="H13" s="2"/>
      <c r="I13" s="2"/>
      <c r="J13" s="341" t="s">
        <v>372</v>
      </c>
      <c r="K13" s="155">
        <f>$E$16</f>
        <v>79.949662046368459</v>
      </c>
      <c r="L13" s="2"/>
      <c r="M13" s="2"/>
      <c r="N13" s="2"/>
      <c r="O13" s="160"/>
    </row>
    <row r="14" spans="1:18" ht="14.25">
      <c r="A14" s="159"/>
      <c r="B14" s="188" t="s">
        <v>227</v>
      </c>
      <c r="C14" s="189"/>
      <c r="D14" s="190">
        <f>'Power Calcs'!R20</f>
        <v>27.938297756838288</v>
      </c>
      <c r="E14" s="190">
        <f>'Power Calcs'!P20</f>
        <v>27.938297756838288</v>
      </c>
      <c r="F14" s="190">
        <f>'Power Calcs'!Q20</f>
        <v>0</v>
      </c>
      <c r="G14" s="191" t="s">
        <v>8</v>
      </c>
      <c r="H14" s="2"/>
      <c r="I14" s="2"/>
      <c r="J14" s="341" t="s">
        <v>373</v>
      </c>
      <c r="K14" s="155">
        <f>$F$16</f>
        <v>0</v>
      </c>
      <c r="L14" s="2"/>
      <c r="M14" s="2"/>
      <c r="N14" s="2"/>
      <c r="O14" s="160"/>
    </row>
    <row r="15" spans="1:18" ht="14.25">
      <c r="A15" s="159"/>
      <c r="B15" s="188" t="s">
        <v>228</v>
      </c>
      <c r="C15" s="189"/>
      <c r="D15" s="190">
        <f>'Power Calcs'!R21</f>
        <v>6.5199914463193629</v>
      </c>
      <c r="E15" s="190">
        <f>'Power Calcs'!P21</f>
        <v>6.5199914463193629</v>
      </c>
      <c r="F15" s="190">
        <f>'Power Calcs'!Q21</f>
        <v>0</v>
      </c>
      <c r="G15" s="191" t="s">
        <v>8</v>
      </c>
      <c r="H15" s="2"/>
      <c r="I15" s="2"/>
      <c r="J15" s="341" t="s">
        <v>374</v>
      </c>
      <c r="K15" s="155">
        <f>$E$22</f>
        <v>69.391534422067053</v>
      </c>
      <c r="L15" s="2"/>
      <c r="M15" s="2"/>
      <c r="N15" s="2"/>
      <c r="O15" s="160"/>
    </row>
    <row r="16" spans="1:18" ht="15">
      <c r="A16" s="159"/>
      <c r="B16" s="176"/>
      <c r="C16" s="177" t="s">
        <v>368</v>
      </c>
      <c r="D16" s="178">
        <f>+D12+D13+D14+D15</f>
        <v>79.949662046368459</v>
      </c>
      <c r="E16" s="178">
        <f>+E12+E13+E14+E15</f>
        <v>79.949662046368459</v>
      </c>
      <c r="F16" s="178">
        <f>+F12+F13+F14+F15</f>
        <v>0</v>
      </c>
      <c r="G16" s="179" t="s">
        <v>8</v>
      </c>
      <c r="H16" s="2"/>
      <c r="I16" s="2"/>
      <c r="J16" s="341" t="s">
        <v>375</v>
      </c>
      <c r="K16" s="155">
        <f>$F$22</f>
        <v>12.501837959489873</v>
      </c>
      <c r="L16" s="2"/>
      <c r="M16" s="2"/>
      <c r="N16" s="2"/>
      <c r="O16" s="160"/>
    </row>
    <row r="17" spans="1:15" ht="14.25">
      <c r="A17" s="159"/>
      <c r="B17" s="192" t="s">
        <v>222</v>
      </c>
      <c r="C17" s="193"/>
      <c r="D17" s="194">
        <f>'Power Calcs'!R15</f>
        <v>45.155288822205556</v>
      </c>
      <c r="E17" s="194">
        <f>'Power Calcs'!P15</f>
        <v>39.753938484621159</v>
      </c>
      <c r="F17" s="194">
        <f>'Power Calcs'!Q15</f>
        <v>5.4013503375843968</v>
      </c>
      <c r="G17" s="195" t="s">
        <v>8</v>
      </c>
      <c r="H17" s="2"/>
      <c r="I17" s="2"/>
      <c r="J17" s="2"/>
      <c r="K17" s="2"/>
      <c r="L17" s="2"/>
      <c r="M17" s="2"/>
      <c r="N17" s="2"/>
      <c r="O17" s="160"/>
    </row>
    <row r="18" spans="1:15" ht="14.25">
      <c r="A18" s="159"/>
      <c r="B18" s="192" t="s">
        <v>219</v>
      </c>
      <c r="C18" s="193"/>
      <c r="D18" s="194">
        <f>'Power Calcs'!R13</f>
        <v>8.9122280570142536</v>
      </c>
      <c r="E18" s="194">
        <f>'Power Calcs'!P13</f>
        <v>7.5618904726181553</v>
      </c>
      <c r="F18" s="194">
        <f>'Power Calcs'!Q13</f>
        <v>1.3503375843960992</v>
      </c>
      <c r="G18" s="195" t="s">
        <v>8</v>
      </c>
      <c r="H18" s="2"/>
      <c r="I18" s="2"/>
      <c r="J18" s="2"/>
      <c r="K18" s="2"/>
      <c r="L18" s="2"/>
      <c r="M18" s="2"/>
      <c r="N18" s="2"/>
      <c r="O18" s="160"/>
    </row>
    <row r="19" spans="1:15" ht="14.25">
      <c r="A19" s="159"/>
      <c r="B19" s="192" t="s">
        <v>220</v>
      </c>
      <c r="C19" s="193"/>
      <c r="D19" s="194">
        <f>'Power Calcs'!R14</f>
        <v>4.3450862715678928</v>
      </c>
      <c r="E19" s="194">
        <f>'Power Calcs'!P14</f>
        <v>3.7449362340585157</v>
      </c>
      <c r="F19" s="194">
        <f>'Power Calcs'!Q14</f>
        <v>0.60015003750937745</v>
      </c>
      <c r="G19" s="195" t="s">
        <v>8</v>
      </c>
      <c r="H19" s="2"/>
      <c r="I19" s="2"/>
      <c r="J19" s="2"/>
      <c r="K19" s="2"/>
      <c r="L19" s="2"/>
      <c r="M19" s="2"/>
      <c r="N19" s="2"/>
      <c r="O19" s="160"/>
    </row>
    <row r="20" spans="1:15" ht="14.25">
      <c r="A20" s="159"/>
      <c r="B20" s="192" t="s">
        <v>218</v>
      </c>
      <c r="C20" s="193"/>
      <c r="D20" s="194">
        <f>'Power Calcs'!R12</f>
        <v>0.75000000000000011</v>
      </c>
      <c r="E20" s="194">
        <f>'Power Calcs'!P12</f>
        <v>0.60000000000000009</v>
      </c>
      <c r="F20" s="194">
        <f>'Power Calcs'!Q12</f>
        <v>0.15000000000000002</v>
      </c>
      <c r="G20" s="195" t="s">
        <v>8</v>
      </c>
      <c r="H20" s="2"/>
      <c r="I20" s="2"/>
      <c r="J20" s="2"/>
      <c r="K20" s="2"/>
      <c r="L20" s="2"/>
      <c r="M20" s="2"/>
      <c r="N20" s="2"/>
      <c r="O20" s="160"/>
    </row>
    <row r="21" spans="1:15" ht="14.25">
      <c r="A21" s="159"/>
      <c r="B21" s="192" t="s">
        <v>223</v>
      </c>
      <c r="C21" s="193"/>
      <c r="D21" s="194">
        <f>'Power Calcs'!R16</f>
        <v>22.73076923076923</v>
      </c>
      <c r="E21" s="194">
        <f>'Power Calcs'!P16</f>
        <v>17.73076923076923</v>
      </c>
      <c r="F21" s="194">
        <f>'Power Calcs'!Q16</f>
        <v>5</v>
      </c>
      <c r="G21" s="195" t="s">
        <v>8</v>
      </c>
      <c r="H21" s="2"/>
      <c r="I21" s="2"/>
      <c r="J21" s="2"/>
      <c r="K21" s="2"/>
      <c r="L21" s="2"/>
      <c r="M21" s="2"/>
      <c r="N21" s="2"/>
      <c r="O21" s="160"/>
    </row>
    <row r="22" spans="1:15" ht="15">
      <c r="A22" s="159"/>
      <c r="B22" s="172"/>
      <c r="C22" s="173" t="s">
        <v>369</v>
      </c>
      <c r="D22" s="174">
        <f>SUM(D17:D21)</f>
        <v>81.893372381556929</v>
      </c>
      <c r="E22" s="174">
        <f>SUM(E17:E21)</f>
        <v>69.391534422067053</v>
      </c>
      <c r="F22" s="174">
        <f>SUM(F17:F21)</f>
        <v>12.501837959489873</v>
      </c>
      <c r="G22" s="175" t="s">
        <v>8</v>
      </c>
      <c r="H22" s="2"/>
      <c r="I22" s="2"/>
      <c r="J22" s="2"/>
      <c r="K22" s="2"/>
      <c r="L22" s="2"/>
      <c r="M22" s="2"/>
      <c r="N22" s="2"/>
      <c r="O22" s="160"/>
    </row>
    <row r="23" spans="1:15" ht="15">
      <c r="A23" s="159"/>
      <c r="B23" s="165" t="s">
        <v>311</v>
      </c>
      <c r="C23" s="164"/>
      <c r="D23" s="166">
        <f>+D16+D11+D22</f>
        <v>197.38383442792539</v>
      </c>
      <c r="E23" s="166">
        <f>+E16+E11+E22</f>
        <v>180.2659964684355</v>
      </c>
      <c r="F23" s="166">
        <f>+F16+F11+F22</f>
        <v>17.117837959489869</v>
      </c>
      <c r="G23" s="167" t="s">
        <v>8</v>
      </c>
      <c r="H23" s="2"/>
      <c r="I23" s="2"/>
      <c r="J23" s="2"/>
      <c r="K23" s="2"/>
      <c r="L23" s="2"/>
      <c r="M23" s="2"/>
      <c r="N23" s="2"/>
      <c r="O23" s="160"/>
    </row>
    <row r="24" spans="1:15" ht="15.75" thickBot="1">
      <c r="A24" s="159"/>
      <c r="B24" s="168" t="s">
        <v>229</v>
      </c>
      <c r="C24" s="169"/>
      <c r="D24" s="170">
        <f>+'Power Calcs'!R22+'Power Calcs'!R23</f>
        <v>22.575056988246427</v>
      </c>
      <c r="E24" s="170">
        <f>+'Power Calcs'!P22+'Power Calcs'!P23</f>
        <v>22.575056988246427</v>
      </c>
      <c r="F24" s="170">
        <f>+'Power Calcs'!Q22+'Power Calcs'!Q23</f>
        <v>0</v>
      </c>
      <c r="G24" s="171" t="s">
        <v>8</v>
      </c>
      <c r="H24" s="2"/>
      <c r="I24" s="2"/>
      <c r="J24" s="2"/>
      <c r="K24" s="2"/>
      <c r="L24" s="2"/>
      <c r="M24" s="2"/>
      <c r="N24" s="2"/>
      <c r="O24" s="160"/>
    </row>
    <row r="25" spans="1:15">
      <c r="A25" s="159"/>
      <c r="B25" s="2"/>
      <c r="C25" s="50"/>
      <c r="D25" s="50"/>
      <c r="E25" s="2"/>
      <c r="F25" s="2"/>
      <c r="G25" s="2"/>
      <c r="H25" s="2"/>
      <c r="I25" s="2"/>
      <c r="J25" s="2"/>
      <c r="K25" s="2"/>
      <c r="L25" s="2"/>
      <c r="M25" s="2"/>
      <c r="N25" s="2"/>
      <c r="O25" s="160"/>
    </row>
    <row r="26" spans="1:15">
      <c r="A26" s="159"/>
      <c r="B26" s="2"/>
      <c r="C26" s="50"/>
      <c r="D26" s="50"/>
      <c r="E26" s="2"/>
      <c r="F26" s="2"/>
      <c r="G26" s="2"/>
      <c r="H26" s="2"/>
      <c r="I26" s="2"/>
      <c r="J26" s="2"/>
      <c r="K26" s="2"/>
      <c r="L26" s="2"/>
      <c r="M26" s="2"/>
      <c r="N26" s="2"/>
      <c r="O26" s="160"/>
    </row>
    <row r="27" spans="1:15">
      <c r="A27" s="159"/>
      <c r="B27" s="2"/>
      <c r="C27" s="50"/>
      <c r="D27" s="50"/>
      <c r="E27" s="2"/>
      <c r="F27" s="2"/>
      <c r="G27" s="2"/>
      <c r="H27" s="2"/>
      <c r="I27" s="2"/>
      <c r="J27" s="2"/>
      <c r="K27" s="2"/>
      <c r="L27" s="2"/>
      <c r="M27" s="2"/>
      <c r="N27" s="2"/>
      <c r="O27" s="160"/>
    </row>
    <row r="28" spans="1:15">
      <c r="A28" s="159"/>
      <c r="B28" s="2"/>
      <c r="C28" s="50"/>
      <c r="D28" s="50"/>
      <c r="E28" s="2"/>
      <c r="F28" s="2"/>
      <c r="G28" s="2"/>
      <c r="H28" s="2"/>
      <c r="I28" s="2"/>
      <c r="J28" s="2"/>
      <c r="K28" s="2"/>
      <c r="L28" s="2"/>
      <c r="M28" s="2"/>
      <c r="N28" s="2"/>
      <c r="O28" s="160"/>
    </row>
    <row r="29" spans="1:15">
      <c r="A29" s="159"/>
      <c r="B29" s="2"/>
      <c r="C29" s="50"/>
      <c r="D29" s="50"/>
      <c r="E29" s="2"/>
      <c r="F29" s="2"/>
      <c r="G29" s="2"/>
      <c r="H29" s="2"/>
      <c r="I29" s="2"/>
      <c r="J29" s="2"/>
      <c r="K29" s="2"/>
      <c r="L29" s="2"/>
      <c r="M29" s="2"/>
      <c r="N29" s="2"/>
      <c r="O29" s="160"/>
    </row>
    <row r="30" spans="1:15">
      <c r="A30" s="159"/>
      <c r="B30" s="2"/>
      <c r="C30" s="50"/>
      <c r="D30" s="50"/>
      <c r="E30" s="2"/>
      <c r="F30" s="2"/>
      <c r="G30" s="2"/>
      <c r="H30" s="2"/>
      <c r="I30" s="2"/>
      <c r="J30" s="2"/>
      <c r="K30" s="2"/>
      <c r="L30" s="2"/>
      <c r="M30" s="2"/>
      <c r="N30" s="2"/>
      <c r="O30" s="160"/>
    </row>
    <row r="31" spans="1:15">
      <c r="A31" s="159"/>
      <c r="B31" s="2"/>
      <c r="C31" s="50"/>
      <c r="D31" s="50"/>
      <c r="E31" s="340" t="s">
        <v>342</v>
      </c>
      <c r="F31" s="340" t="s">
        <v>343</v>
      </c>
      <c r="G31" s="2"/>
      <c r="H31" s="2"/>
      <c r="I31" s="2"/>
      <c r="J31" s="2"/>
      <c r="K31" s="2"/>
      <c r="L31" s="2"/>
      <c r="M31" s="2"/>
      <c r="N31" s="2"/>
      <c r="O31" s="160"/>
    </row>
    <row r="32" spans="1:15">
      <c r="A32" s="159"/>
      <c r="B32" s="2"/>
      <c r="C32" s="330" t="str">
        <f>$B$10</f>
        <v>ACT</v>
      </c>
      <c r="D32" s="331">
        <f>$D$10</f>
        <v>35.540799999999997</v>
      </c>
      <c r="E32" s="331">
        <f>$E$10</f>
        <v>30.924800000000001</v>
      </c>
      <c r="F32" s="331">
        <f>$F$10</f>
        <v>4.6159999999999961</v>
      </c>
      <c r="G32" s="2"/>
      <c r="H32" s="2"/>
      <c r="I32" s="2"/>
      <c r="J32" s="2"/>
      <c r="K32" s="2"/>
      <c r="L32" s="2"/>
      <c r="M32" s="2"/>
      <c r="N32" s="2"/>
      <c r="O32" s="160"/>
    </row>
    <row r="33" spans="1:15">
      <c r="A33" s="159"/>
      <c r="B33" s="2"/>
      <c r="C33" s="330" t="str">
        <f>$B$12</f>
        <v>RD</v>
      </c>
      <c r="D33" s="331">
        <f>$D$12</f>
        <v>30.007501875468865</v>
      </c>
      <c r="E33" s="331">
        <f>$E$12</f>
        <v>30.007501875468865</v>
      </c>
      <c r="F33" s="331">
        <f>$F$12</f>
        <v>0</v>
      </c>
      <c r="G33" s="2"/>
      <c r="H33" s="2"/>
      <c r="I33" s="2"/>
      <c r="J33" s="2"/>
      <c r="K33" s="2"/>
      <c r="L33" s="2"/>
      <c r="M33" s="2"/>
      <c r="N33" s="2"/>
      <c r="O33" s="160"/>
    </row>
    <row r="34" spans="1:15">
      <c r="A34" s="159"/>
      <c r="B34" s="2"/>
      <c r="C34" s="330" t="str">
        <f>$B$13</f>
        <v>WR</v>
      </c>
      <c r="D34" s="331">
        <f>$D$13</f>
        <v>15.483870967741934</v>
      </c>
      <c r="E34" s="331">
        <f>$E$13</f>
        <v>15.483870967741934</v>
      </c>
      <c r="F34" s="331">
        <f>$F$13</f>
        <v>0</v>
      </c>
      <c r="G34" s="2"/>
      <c r="H34" s="2"/>
      <c r="I34" s="2"/>
      <c r="J34" s="2"/>
      <c r="K34" s="2"/>
      <c r="L34" s="2"/>
      <c r="M34" s="2"/>
      <c r="N34" s="2"/>
      <c r="O34" s="160"/>
    </row>
    <row r="35" spans="1:15">
      <c r="A35" s="159"/>
      <c r="B35" s="2"/>
      <c r="C35" s="330" t="str">
        <f>$B$14</f>
        <v>READ I/O</v>
      </c>
      <c r="D35" s="331">
        <f>$D$14</f>
        <v>27.938297756838288</v>
      </c>
      <c r="E35" s="331">
        <f>$E$14</f>
        <v>27.938297756838288</v>
      </c>
      <c r="F35" s="331">
        <f>$F$14</f>
        <v>0</v>
      </c>
      <c r="G35" s="2"/>
      <c r="H35" s="2"/>
      <c r="I35" s="2"/>
      <c r="J35" s="2"/>
      <c r="K35" s="2"/>
      <c r="L35" s="2"/>
      <c r="M35" s="2"/>
      <c r="N35" s="2"/>
      <c r="O35" s="160"/>
    </row>
    <row r="36" spans="1:15">
      <c r="A36" s="159"/>
      <c r="B36" s="2"/>
      <c r="C36" s="330" t="str">
        <f>$B$15</f>
        <v>Write ODT</v>
      </c>
      <c r="D36" s="331">
        <f>$D$15</f>
        <v>6.5199914463193629</v>
      </c>
      <c r="E36" s="331">
        <f>$E$15</f>
        <v>6.5199914463193629</v>
      </c>
      <c r="F36" s="331">
        <f>$F$15</f>
        <v>0</v>
      </c>
      <c r="G36" s="2"/>
      <c r="H36" s="2"/>
      <c r="I36" s="2"/>
      <c r="J36" s="2"/>
      <c r="K36" s="2"/>
      <c r="L36" s="2"/>
      <c r="M36" s="2"/>
      <c r="N36" s="2"/>
      <c r="O36" s="160"/>
    </row>
    <row r="37" spans="1:15">
      <c r="A37" s="159"/>
      <c r="B37" s="2"/>
      <c r="C37" s="330" t="str">
        <f>$B$17</f>
        <v>ACT_STBY</v>
      </c>
      <c r="D37" s="331">
        <f>$D$17</f>
        <v>45.155288822205556</v>
      </c>
      <c r="E37" s="331">
        <f>$E$17</f>
        <v>39.753938484621159</v>
      </c>
      <c r="F37" s="331">
        <f>$F$17</f>
        <v>5.4013503375843968</v>
      </c>
      <c r="G37" s="2"/>
      <c r="H37" s="2"/>
      <c r="I37" s="2"/>
      <c r="J37" s="2"/>
      <c r="K37" s="2"/>
      <c r="L37" s="2"/>
      <c r="M37" s="2"/>
      <c r="N37" s="2"/>
      <c r="O37" s="160"/>
    </row>
    <row r="38" spans="1:15">
      <c r="A38" s="159"/>
      <c r="B38" s="2"/>
      <c r="C38" s="330" t="str">
        <f>$B$18</f>
        <v>PRE_STBY</v>
      </c>
      <c r="D38" s="331">
        <f>$D$18</f>
        <v>8.9122280570142536</v>
      </c>
      <c r="E38" s="331">
        <f>$E$18</f>
        <v>7.5618904726181553</v>
      </c>
      <c r="F38" s="331">
        <f>$F$18</f>
        <v>1.3503375843960992</v>
      </c>
      <c r="G38" s="2"/>
      <c r="H38" s="2"/>
      <c r="I38" s="2"/>
      <c r="J38" s="2"/>
      <c r="K38" s="2"/>
      <c r="L38" s="2"/>
      <c r="M38" s="2"/>
      <c r="N38" s="2"/>
      <c r="O38" s="160"/>
    </row>
    <row r="39" spans="1:15">
      <c r="A39" s="159"/>
      <c r="B39" s="2"/>
      <c r="C39" s="330" t="str">
        <f>$B$19</f>
        <v>ACT_PDN</v>
      </c>
      <c r="D39" s="331">
        <f>$D$19</f>
        <v>4.3450862715678928</v>
      </c>
      <c r="E39" s="331">
        <f>$E$19</f>
        <v>3.7449362340585157</v>
      </c>
      <c r="F39" s="331">
        <f>$F$19</f>
        <v>0.60015003750937745</v>
      </c>
      <c r="G39" s="2"/>
      <c r="H39" s="2"/>
      <c r="I39" s="2"/>
      <c r="J39" s="2"/>
      <c r="K39" s="2"/>
      <c r="L39" s="2"/>
      <c r="M39" s="2"/>
      <c r="N39" s="2"/>
      <c r="O39" s="160"/>
    </row>
    <row r="40" spans="1:15">
      <c r="A40" s="159"/>
      <c r="B40" s="2"/>
      <c r="C40" s="330" t="str">
        <f>$B$20</f>
        <v>PRE_PDN</v>
      </c>
      <c r="D40" s="331">
        <f>$D$20</f>
        <v>0.75000000000000011</v>
      </c>
      <c r="E40" s="331">
        <f>$E$20</f>
        <v>0.60000000000000009</v>
      </c>
      <c r="F40" s="331">
        <f>$F$20</f>
        <v>0.15000000000000002</v>
      </c>
      <c r="G40" s="2"/>
      <c r="H40" s="2"/>
      <c r="I40" s="2"/>
      <c r="J40" s="2"/>
      <c r="K40" s="2"/>
      <c r="L40" s="2"/>
      <c r="M40" s="2"/>
      <c r="N40" s="2"/>
      <c r="O40" s="160"/>
    </row>
    <row r="41" spans="1:15">
      <c r="A41" s="159"/>
      <c r="B41" s="2"/>
      <c r="C41" s="330" t="str">
        <f>$B$21</f>
        <v>REF</v>
      </c>
      <c r="D41" s="331">
        <f>$D$21</f>
        <v>22.73076923076923</v>
      </c>
      <c r="E41" s="331">
        <f>$E$21</f>
        <v>17.73076923076923</v>
      </c>
      <c r="F41" s="331">
        <f>$F$21</f>
        <v>5</v>
      </c>
      <c r="G41" s="2"/>
      <c r="H41" s="2"/>
      <c r="I41" s="2"/>
      <c r="J41" s="2"/>
      <c r="K41" s="2"/>
      <c r="L41" s="2"/>
      <c r="M41" s="2"/>
      <c r="N41" s="2"/>
      <c r="O41" s="160"/>
    </row>
    <row r="42" spans="1:15">
      <c r="A42" s="159"/>
      <c r="B42" s="2"/>
      <c r="C42" s="330" t="str">
        <f>$B$24</f>
        <v>TERM 2nd rank</v>
      </c>
      <c r="D42" s="331">
        <f>$D$24</f>
        <v>22.575056988246427</v>
      </c>
      <c r="E42" s="331">
        <f>$E$24</f>
        <v>22.575056988246427</v>
      </c>
      <c r="F42" s="331">
        <f>$F$24</f>
        <v>0</v>
      </c>
      <c r="G42" s="2"/>
      <c r="H42" s="2"/>
      <c r="I42" s="2"/>
      <c r="J42" s="2"/>
      <c r="K42" s="2"/>
      <c r="L42" s="2"/>
      <c r="M42" s="2"/>
      <c r="N42" s="2"/>
      <c r="O42" s="160"/>
    </row>
    <row r="43" spans="1:15">
      <c r="A43" s="159"/>
      <c r="B43" s="2"/>
      <c r="C43" s="50"/>
      <c r="D43" s="50"/>
      <c r="E43" s="2"/>
      <c r="F43" s="2"/>
      <c r="G43" s="2"/>
      <c r="H43" s="2"/>
      <c r="I43" s="2"/>
      <c r="J43" s="2"/>
      <c r="K43" s="2"/>
      <c r="L43" s="2"/>
      <c r="M43" s="2"/>
      <c r="N43" s="2"/>
      <c r="O43" s="160"/>
    </row>
    <row r="44" spans="1:15">
      <c r="A44" s="159"/>
      <c r="B44" s="2"/>
      <c r="C44" s="50"/>
      <c r="D44" s="50"/>
      <c r="E44" s="2"/>
      <c r="F44" s="2"/>
      <c r="G44" s="2"/>
      <c r="H44" s="2"/>
      <c r="I44" s="2"/>
      <c r="J44" s="2"/>
      <c r="K44" s="2"/>
      <c r="L44" s="2"/>
      <c r="M44" s="2"/>
      <c r="N44" s="2"/>
      <c r="O44" s="160"/>
    </row>
    <row r="45" spans="1:15">
      <c r="A45" s="159"/>
      <c r="B45" s="2"/>
      <c r="C45" s="2"/>
      <c r="D45" s="2"/>
      <c r="E45" s="2"/>
      <c r="F45" s="2"/>
      <c r="G45" s="2"/>
      <c r="H45" s="2"/>
      <c r="I45" s="2"/>
      <c r="J45" s="2"/>
      <c r="K45" s="2"/>
      <c r="L45" s="2"/>
      <c r="M45" s="2"/>
      <c r="N45" s="2"/>
      <c r="O45" s="160"/>
    </row>
    <row r="46" spans="1:15">
      <c r="A46" s="159"/>
      <c r="B46" s="2"/>
      <c r="C46" s="2"/>
      <c r="D46" s="2"/>
      <c r="E46" s="2"/>
      <c r="F46" s="2"/>
      <c r="G46" s="2"/>
      <c r="H46" s="2"/>
      <c r="I46" s="2"/>
      <c r="J46" s="2"/>
      <c r="K46" s="2"/>
      <c r="L46" s="2"/>
      <c r="M46" s="2"/>
      <c r="N46" s="2"/>
      <c r="O46" s="160"/>
    </row>
    <row r="47" spans="1:15">
      <c r="A47" s="159"/>
      <c r="B47" s="2"/>
      <c r="C47" s="2"/>
      <c r="D47" s="2"/>
      <c r="E47" s="2"/>
      <c r="F47" s="2"/>
      <c r="G47" s="2"/>
      <c r="H47" s="2"/>
      <c r="I47" s="2"/>
      <c r="J47" s="2"/>
      <c r="K47" s="2"/>
      <c r="L47" s="2"/>
      <c r="M47" s="2"/>
      <c r="N47" s="2"/>
      <c r="O47" s="160"/>
    </row>
    <row r="48" spans="1:15">
      <c r="A48" s="159"/>
      <c r="B48" s="2"/>
      <c r="C48" s="2"/>
      <c r="D48" s="2"/>
      <c r="E48" s="2"/>
      <c r="F48" s="2"/>
      <c r="G48" s="2"/>
      <c r="H48" s="2"/>
      <c r="I48" s="2"/>
      <c r="J48" s="2"/>
      <c r="K48" s="2"/>
      <c r="L48" s="2"/>
      <c r="M48" s="2"/>
      <c r="N48" s="2"/>
      <c r="O48" s="160"/>
    </row>
    <row r="49" spans="1:15" hidden="1">
      <c r="A49" s="159" t="str">
        <f>CONCATENATE("System is operating at ",'System Config'!I9," MHz clock with VDD = ",'System Config'!I8,"V.")</f>
        <v>System is operating at 1333.33333333333 MHz clock with VDD = 2.5V.</v>
      </c>
      <c r="B49" s="2"/>
      <c r="C49" s="2"/>
      <c r="D49" s="2"/>
      <c r="E49" s="2"/>
      <c r="F49" s="2"/>
      <c r="G49" s="2"/>
      <c r="H49" s="2"/>
      <c r="I49" s="2"/>
      <c r="J49" s="2"/>
      <c r="K49" s="2"/>
      <c r="L49" s="2"/>
      <c r="M49" s="2"/>
      <c r="N49" s="2"/>
      <c r="O49" s="160"/>
    </row>
    <row r="50" spans="1:15" hidden="1">
      <c r="A50" s="159" t="str">
        <f>CONCATENATE("Read bandwidth is ",B52," MT/s with write bandwidth of ",B53," MT/s. The DRAM terminates  ",B54," MT/s.")</f>
        <v>Read bandwidth is 666.7 MT/s with write bandwidth of 400 MT/s. The DRAM terminates  1066.7 MT/s.</v>
      </c>
      <c r="B50" s="2"/>
      <c r="C50" s="2"/>
      <c r="D50" s="2"/>
      <c r="E50" s="2"/>
      <c r="F50" s="2"/>
      <c r="G50" s="2"/>
      <c r="H50" s="2"/>
      <c r="I50" s="2"/>
      <c r="J50" s="2"/>
      <c r="K50" s="2"/>
      <c r="L50" s="2"/>
      <c r="M50" s="2"/>
      <c r="N50" s="2"/>
      <c r="O50" s="160"/>
    </row>
    <row r="51" spans="1:15" hidden="1">
      <c r="A51" s="159" t="str">
        <f>CONCATENATE("ACT commands are separated by ",'System Config'!I31,"ns on average.")</f>
        <v>ACT commands are separated by 15ns on average.</v>
      </c>
      <c r="B51" s="2"/>
      <c r="C51" s="2"/>
      <c r="D51" s="2"/>
      <c r="E51" s="2"/>
      <c r="F51" s="2"/>
      <c r="G51" s="2"/>
      <c r="H51" s="2"/>
      <c r="I51" s="2"/>
      <c r="J51" s="2"/>
      <c r="K51" s="2"/>
      <c r="L51" s="2"/>
      <c r="M51" s="2"/>
      <c r="N51" s="2"/>
      <c r="O51" s="160"/>
    </row>
    <row r="52" spans="1:15" hidden="1">
      <c r="A52" s="159"/>
      <c r="B52" s="51">
        <f>INT('System Config'!I9*'System Config'!I23*'DDR4 Config'!D8/8*20+0.999)/10</f>
        <v>666.7</v>
      </c>
      <c r="C52" s="2" t="s">
        <v>30</v>
      </c>
      <c r="D52" s="2"/>
      <c r="E52" s="2"/>
      <c r="F52" s="2"/>
      <c r="G52" s="2"/>
      <c r="H52" s="2"/>
      <c r="I52" s="2"/>
      <c r="J52" s="2"/>
      <c r="K52" s="2"/>
      <c r="L52" s="2"/>
      <c r="M52" s="2"/>
      <c r="N52" s="2"/>
      <c r="O52" s="160"/>
    </row>
    <row r="53" spans="1:15" hidden="1">
      <c r="A53" s="159" t="s">
        <v>12</v>
      </c>
      <c r="B53" s="52">
        <f>INT('System Config'!I9*'System Config'!I25*'DDR4 Config'!D8/8*20+0.99)/10</f>
        <v>400</v>
      </c>
      <c r="C53" s="2" t="s">
        <v>30</v>
      </c>
      <c r="D53" s="2"/>
      <c r="E53" s="2"/>
      <c r="F53" s="2"/>
      <c r="G53" s="2"/>
      <c r="H53" s="2"/>
      <c r="I53" s="2"/>
      <c r="J53" s="2"/>
      <c r="K53" s="2"/>
      <c r="L53" s="2"/>
      <c r="M53" s="2"/>
      <c r="N53" s="2"/>
      <c r="O53" s="160"/>
    </row>
    <row r="54" spans="1:15" hidden="1">
      <c r="A54" s="159" t="s">
        <v>29</v>
      </c>
      <c r="B54" s="53">
        <f>INT('System Config'!I9*('System Config'!I29+'System Config'!I28)*'DDR4 Config'!D8/8*20+0.99)/10</f>
        <v>1066.7</v>
      </c>
      <c r="C54" s="2" t="s">
        <v>30</v>
      </c>
      <c r="D54" s="2"/>
      <c r="E54" s="2"/>
      <c r="F54" s="2"/>
      <c r="G54" s="2"/>
      <c r="H54" s="2"/>
      <c r="I54" s="2"/>
      <c r="J54" s="2"/>
      <c r="K54" s="2"/>
      <c r="L54" s="2"/>
      <c r="M54" s="2"/>
      <c r="N54" s="2"/>
      <c r="O54" s="160"/>
    </row>
    <row r="55" spans="1:15" hidden="1">
      <c r="A55" s="159" t="s">
        <v>84</v>
      </c>
      <c r="B55" s="2"/>
      <c r="C55" s="2"/>
      <c r="D55" s="2"/>
      <c r="E55" s="2"/>
      <c r="F55" s="2"/>
      <c r="G55" s="2"/>
      <c r="H55" s="2"/>
      <c r="I55" s="2"/>
      <c r="J55" s="2"/>
      <c r="K55" s="2"/>
      <c r="L55" s="2"/>
      <c r="M55" s="2"/>
      <c r="N55" s="2"/>
      <c r="O55" s="160"/>
    </row>
    <row r="56" spans="1:15" hidden="1">
      <c r="A56" s="159"/>
      <c r="B56" s="2"/>
      <c r="C56" s="2"/>
      <c r="D56" s="2"/>
      <c r="E56" s="2"/>
      <c r="F56" s="2"/>
      <c r="G56" s="2"/>
      <c r="H56" s="2"/>
      <c r="I56" s="2"/>
      <c r="J56" s="2"/>
      <c r="K56" s="2"/>
      <c r="L56" s="2"/>
      <c r="M56" s="2"/>
      <c r="N56" s="2"/>
      <c r="O56" s="160"/>
    </row>
    <row r="57" spans="1:15">
      <c r="A57" s="159"/>
      <c r="B57" s="2"/>
      <c r="C57" s="2"/>
      <c r="D57" s="2"/>
      <c r="E57" s="2"/>
      <c r="F57" s="2"/>
      <c r="G57" s="2"/>
      <c r="H57" s="2"/>
      <c r="I57" s="2"/>
      <c r="J57" s="2"/>
      <c r="K57" s="2"/>
      <c r="L57" s="2"/>
      <c r="M57" s="2"/>
      <c r="N57" s="2"/>
      <c r="O57" s="160"/>
    </row>
    <row r="58" spans="1:15">
      <c r="A58" s="159"/>
      <c r="B58" s="2"/>
      <c r="C58" s="2"/>
      <c r="D58" s="2"/>
      <c r="E58" s="2"/>
      <c r="F58" s="2"/>
      <c r="G58" s="2"/>
      <c r="H58" s="2"/>
      <c r="I58" s="2"/>
      <c r="J58" s="2"/>
      <c r="K58" s="2"/>
      <c r="L58" s="2"/>
      <c r="M58" s="2"/>
      <c r="N58" s="2"/>
      <c r="O58" s="160"/>
    </row>
    <row r="59" spans="1:15">
      <c r="A59" s="159"/>
      <c r="B59" s="2"/>
      <c r="C59" s="2"/>
      <c r="D59" s="2"/>
      <c r="E59" s="2"/>
      <c r="F59" s="2"/>
      <c r="G59" s="2"/>
      <c r="H59" s="2"/>
      <c r="I59" s="2"/>
      <c r="J59" s="2"/>
      <c r="K59" s="2"/>
      <c r="L59" s="2"/>
      <c r="M59" s="2"/>
      <c r="N59" s="2"/>
      <c r="O59" s="160"/>
    </row>
    <row r="60" spans="1:15" hidden="1">
      <c r="A60" s="159"/>
      <c r="B60" s="2"/>
      <c r="C60" s="2"/>
      <c r="D60" s="2"/>
      <c r="E60" s="2"/>
      <c r="F60" s="2"/>
      <c r="G60" s="2"/>
      <c r="H60" s="2"/>
      <c r="I60" s="2"/>
      <c r="J60" s="2"/>
      <c r="K60" s="2"/>
      <c r="L60" s="2"/>
      <c r="M60" s="2"/>
      <c r="N60" s="2"/>
      <c r="O60" s="160"/>
    </row>
    <row r="61" spans="1:15" hidden="1">
      <c r="A61" s="159"/>
      <c r="B61" s="2"/>
      <c r="C61" s="2"/>
      <c r="D61" s="2"/>
      <c r="E61" s="2"/>
      <c r="F61" s="2"/>
      <c r="G61" s="2"/>
      <c r="H61" s="2"/>
      <c r="I61" s="2"/>
      <c r="J61" s="2"/>
      <c r="K61" s="2"/>
      <c r="L61" s="2"/>
      <c r="M61" s="2"/>
      <c r="N61" s="2"/>
      <c r="O61" s="160"/>
    </row>
    <row r="62" spans="1:15" hidden="1">
      <c r="A62" s="159"/>
      <c r="B62" s="2"/>
      <c r="C62" s="2"/>
      <c r="D62" s="2"/>
      <c r="E62" s="2"/>
      <c r="F62" s="2"/>
      <c r="G62" s="2"/>
      <c r="H62" s="2"/>
      <c r="I62" s="2"/>
      <c r="J62" s="2"/>
      <c r="K62" s="2"/>
      <c r="L62" s="2"/>
      <c r="M62" s="2"/>
      <c r="N62" s="2"/>
      <c r="O62" s="160"/>
    </row>
    <row r="63" spans="1:15" ht="13.5" thickBot="1">
      <c r="A63" s="161"/>
      <c r="B63" s="162"/>
      <c r="C63" s="162"/>
      <c r="D63" s="162"/>
      <c r="E63" s="162"/>
      <c r="F63" s="162"/>
      <c r="G63" s="162"/>
      <c r="H63" s="162"/>
      <c r="I63" s="162"/>
      <c r="J63" s="162"/>
      <c r="K63" s="162"/>
      <c r="L63" s="162"/>
      <c r="M63" s="162"/>
      <c r="N63" s="162"/>
      <c r="O63" s="163"/>
    </row>
  </sheetData>
  <mergeCells count="2">
    <mergeCell ref="B8:E8"/>
    <mergeCell ref="C7:L7"/>
  </mergeCells>
  <phoneticPr fontId="0" type="noConversion"/>
  <printOptions horizontalCentered="1"/>
  <pageMargins left="0.25" right="0.25" top="0.25" bottom="0.25" header="0.5" footer="0.5"/>
  <pageSetup scale="79"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dimension ref="A1:M19"/>
  <sheetViews>
    <sheetView workbookViewId="0">
      <selection activeCell="P19" sqref="P19"/>
    </sheetView>
  </sheetViews>
  <sheetFormatPr defaultRowHeight="12.75"/>
  <cols>
    <col min="2" max="2" width="12.28515625" customWidth="1"/>
    <col min="6" max="6" width="25.7109375" customWidth="1"/>
  </cols>
  <sheetData>
    <row r="1" spans="1:13" ht="39" thickBot="1">
      <c r="A1" s="426" t="str">
        <f>CONCATENATE('DDR4 Config'!D7," DDR4  ",'DDR4 Config'!D8," DQs ",'DDR4 Config'!D9," Speed ",)</f>
        <v xml:space="preserve">8Gb DDR4  8 DQs -075E Speed </v>
      </c>
      <c r="B1" s="426"/>
      <c r="C1" s="426"/>
      <c r="E1" s="342" t="s">
        <v>376</v>
      </c>
      <c r="F1" s="343" t="s">
        <v>382</v>
      </c>
      <c r="G1" s="342" t="s">
        <v>377</v>
      </c>
      <c r="H1" s="342" t="s">
        <v>378</v>
      </c>
      <c r="I1" s="343" t="s">
        <v>383</v>
      </c>
      <c r="J1" s="343" t="s">
        <v>384</v>
      </c>
      <c r="K1" s="343" t="s">
        <v>385</v>
      </c>
      <c r="L1" s="343" t="s">
        <v>379</v>
      </c>
      <c r="M1" s="343" t="s">
        <v>387</v>
      </c>
    </row>
    <row r="2" spans="1:13" ht="15.75" thickBot="1">
      <c r="A2" s="332"/>
      <c r="B2" s="333"/>
      <c r="C2" s="335" t="s">
        <v>344</v>
      </c>
      <c r="E2" s="344" t="s">
        <v>87</v>
      </c>
      <c r="F2" s="345" t="s">
        <v>191</v>
      </c>
      <c r="G2" s="345" t="s">
        <v>380</v>
      </c>
      <c r="H2" s="346" t="s">
        <v>191</v>
      </c>
      <c r="I2" s="347" t="s">
        <v>191</v>
      </c>
      <c r="J2" s="347" t="s">
        <v>191</v>
      </c>
      <c r="K2" s="347" t="s">
        <v>191</v>
      </c>
      <c r="L2" s="347" t="s">
        <v>381</v>
      </c>
      <c r="M2" s="348" t="e">
        <f xml:space="preserve">  IF(E2="x4",  (1*18*I2+(IF(L2="single",0,1)*1*18*J2) +IF(L2="dual",K2*18,0))/1000+0.4,"na")</f>
        <v>#VALUE!</v>
      </c>
    </row>
    <row r="3" spans="1:13" ht="15.75" thickBot="1">
      <c r="A3" s="184" t="s">
        <v>224</v>
      </c>
      <c r="B3" s="185"/>
      <c r="C3" s="186">
        <f>Summary!D10</f>
        <v>35.540799999999997</v>
      </c>
      <c r="E3" s="344" t="s">
        <v>87</v>
      </c>
      <c r="F3" s="345" t="s">
        <v>191</v>
      </c>
      <c r="G3" s="345" t="s">
        <v>380</v>
      </c>
      <c r="H3" s="346" t="s">
        <v>191</v>
      </c>
      <c r="I3" s="347" t="s">
        <v>191</v>
      </c>
      <c r="J3" s="347" t="s">
        <v>191</v>
      </c>
      <c r="K3" s="347" t="s">
        <v>191</v>
      </c>
      <c r="L3" s="347" t="s">
        <v>381</v>
      </c>
      <c r="M3" s="348" t="e">
        <f t="shared" ref="M3:M5" si="0" xml:space="preserve">  IF(E3="x4",  (1*18*I3+(IF(L3="single",0,1)*1*18*J3) +IF(L3="dual",K3*18,0))/1000+0.4,"na")</f>
        <v>#VALUE!</v>
      </c>
    </row>
    <row r="4" spans="1:13" ht="15.75" thickBot="1">
      <c r="A4" s="180"/>
      <c r="B4" s="181" t="s">
        <v>367</v>
      </c>
      <c r="C4" s="182">
        <f>C3</f>
        <v>35.540799999999997</v>
      </c>
      <c r="E4" s="344" t="s">
        <v>87</v>
      </c>
      <c r="F4" s="345" t="s">
        <v>191</v>
      </c>
      <c r="G4" s="345" t="s">
        <v>380</v>
      </c>
      <c r="H4" s="346" t="s">
        <v>398</v>
      </c>
      <c r="I4" s="347" t="s">
        <v>191</v>
      </c>
      <c r="J4" s="347" t="s">
        <v>191</v>
      </c>
      <c r="K4" s="347" t="s">
        <v>191</v>
      </c>
      <c r="L4" s="347" t="s">
        <v>381</v>
      </c>
      <c r="M4" s="348" t="e">
        <f t="shared" si="0"/>
        <v>#VALUE!</v>
      </c>
    </row>
    <row r="5" spans="1:13" ht="15">
      <c r="A5" s="188" t="s">
        <v>226</v>
      </c>
      <c r="B5" s="189"/>
      <c r="C5" s="190">
        <f>Summary!D12</f>
        <v>30.007501875468865</v>
      </c>
      <c r="E5" s="344" t="s">
        <v>87</v>
      </c>
      <c r="F5" s="345" t="s">
        <v>191</v>
      </c>
      <c r="G5" s="345" t="s">
        <v>380</v>
      </c>
      <c r="H5" s="346" t="s">
        <v>191</v>
      </c>
      <c r="I5" s="347" t="s">
        <v>191</v>
      </c>
      <c r="J5" s="347" t="s">
        <v>191</v>
      </c>
      <c r="K5" s="347" t="s">
        <v>191</v>
      </c>
      <c r="L5" s="347" t="s">
        <v>381</v>
      </c>
      <c r="M5" s="348" t="e">
        <f t="shared" si="0"/>
        <v>#VALUE!</v>
      </c>
    </row>
    <row r="6" spans="1:13" ht="14.25">
      <c r="A6" s="188" t="s">
        <v>225</v>
      </c>
      <c r="B6" s="189"/>
      <c r="C6" s="190">
        <f>Summary!D13</f>
        <v>15.483870967741934</v>
      </c>
    </row>
    <row r="7" spans="1:13" ht="14.25">
      <c r="A7" s="188" t="s">
        <v>227</v>
      </c>
      <c r="B7" s="189"/>
      <c r="C7" s="190">
        <f>Summary!D14</f>
        <v>27.938297756838288</v>
      </c>
    </row>
    <row r="8" spans="1:13" ht="14.25">
      <c r="A8" s="188" t="s">
        <v>228</v>
      </c>
      <c r="B8" s="189"/>
      <c r="C8" s="190">
        <f>Summary!D15</f>
        <v>6.5199914463193629</v>
      </c>
    </row>
    <row r="9" spans="1:13" ht="15">
      <c r="A9" s="176"/>
      <c r="B9" s="177" t="s">
        <v>368</v>
      </c>
      <c r="C9" s="178">
        <f>+C5+C6+C7+C8</f>
        <v>79.949662046368459</v>
      </c>
    </row>
    <row r="10" spans="1:13" ht="14.25">
      <c r="A10" s="192" t="s">
        <v>222</v>
      </c>
      <c r="B10" s="193"/>
      <c r="C10" s="194">
        <f>Summary!D17</f>
        <v>45.155288822205556</v>
      </c>
    </row>
    <row r="11" spans="1:13" ht="14.25">
      <c r="A11" s="192" t="s">
        <v>219</v>
      </c>
      <c r="B11" s="193"/>
      <c r="C11" s="194">
        <f>Summary!D18</f>
        <v>8.9122280570142536</v>
      </c>
    </row>
    <row r="12" spans="1:13" ht="14.25">
      <c r="A12" s="192" t="s">
        <v>220</v>
      </c>
      <c r="B12" s="193"/>
      <c r="C12" s="194">
        <f>Summary!D19</f>
        <v>4.3450862715678928</v>
      </c>
    </row>
    <row r="13" spans="1:13" ht="14.25">
      <c r="A13" s="192" t="s">
        <v>218</v>
      </c>
      <c r="B13" s="193"/>
      <c r="C13" s="194">
        <f>Summary!D20</f>
        <v>0.75000000000000011</v>
      </c>
    </row>
    <row r="14" spans="1:13" ht="14.25">
      <c r="A14" s="192" t="s">
        <v>223</v>
      </c>
      <c r="B14" s="193"/>
      <c r="C14" s="194">
        <f>Summary!D21</f>
        <v>22.73076923076923</v>
      </c>
    </row>
    <row r="15" spans="1:13" ht="39" thickBot="1">
      <c r="A15" s="165" t="s">
        <v>388</v>
      </c>
      <c r="B15" s="164"/>
      <c r="C15" s="166">
        <f>+C9+C4+C16</f>
        <v>197.38383442792539</v>
      </c>
      <c r="E15" s="342" t="s">
        <v>376</v>
      </c>
      <c r="F15" s="343" t="s">
        <v>382</v>
      </c>
      <c r="G15" s="342" t="s">
        <v>377</v>
      </c>
      <c r="H15" s="342" t="s">
        <v>378</v>
      </c>
      <c r="I15" s="343" t="s">
        <v>383</v>
      </c>
      <c r="J15" s="343" t="s">
        <v>384</v>
      </c>
      <c r="K15" s="343" t="s">
        <v>385</v>
      </c>
      <c r="L15" s="343" t="s">
        <v>379</v>
      </c>
      <c r="M15" s="343" t="s">
        <v>386</v>
      </c>
    </row>
    <row r="16" spans="1:13" ht="15.75" thickBot="1">
      <c r="A16" s="427" t="s">
        <v>369</v>
      </c>
      <c r="B16" s="428"/>
      <c r="C16" s="174">
        <f>SUM(C10:C14)</f>
        <v>81.893372381556929</v>
      </c>
      <c r="E16" s="351" t="s">
        <v>88</v>
      </c>
      <c r="F16" s="352" t="s">
        <v>191</v>
      </c>
      <c r="G16" s="352" t="s">
        <v>380</v>
      </c>
      <c r="H16" s="353" t="s">
        <v>191</v>
      </c>
      <c r="I16" s="354" t="s">
        <v>191</v>
      </c>
      <c r="J16" s="354" t="s">
        <v>191</v>
      </c>
      <c r="K16" s="354" t="s">
        <v>191</v>
      </c>
      <c r="L16" s="354" t="s">
        <v>381</v>
      </c>
      <c r="M16" s="355" t="e">
        <f xml:space="preserve">  IF(E16="x8",  (1*8*I16+(IF(L16="single",0,1)*1*8*J16) +IF(L16="dual",K16*8,0))/1000+0,"na")</f>
        <v>#VALUE!</v>
      </c>
    </row>
    <row r="17" spans="1:13" ht="15.75" thickBot="1">
      <c r="A17" s="168" t="s">
        <v>229</v>
      </c>
      <c r="B17" s="169"/>
      <c r="C17" s="170">
        <f>Summary!D24</f>
        <v>22.575056988246427</v>
      </c>
      <c r="E17" s="351" t="s">
        <v>88</v>
      </c>
      <c r="F17" s="352" t="s">
        <v>191</v>
      </c>
      <c r="G17" s="352" t="s">
        <v>380</v>
      </c>
      <c r="H17" s="353" t="s">
        <v>191</v>
      </c>
      <c r="I17" s="354" t="s">
        <v>191</v>
      </c>
      <c r="J17" s="354" t="s">
        <v>191</v>
      </c>
      <c r="K17" s="354" t="s">
        <v>191</v>
      </c>
      <c r="L17" s="354" t="s">
        <v>381</v>
      </c>
      <c r="M17" s="355" t="e">
        <f t="shared" ref="M17:M19" si="1" xml:space="preserve">  IF(E17="x8",  (1*8*I17+(IF(L17="single",0,1)*1*8*J17) +IF(L17="dual",K17*8,0))/1000+0,"na")</f>
        <v>#VALUE!</v>
      </c>
    </row>
    <row r="18" spans="1:13" ht="15.75" thickBot="1">
      <c r="E18" s="351" t="s">
        <v>88</v>
      </c>
      <c r="F18" s="352" t="s">
        <v>191</v>
      </c>
      <c r="G18" s="352" t="s">
        <v>380</v>
      </c>
      <c r="H18" s="353" t="s">
        <v>191</v>
      </c>
      <c r="I18" s="354" t="s">
        <v>191</v>
      </c>
      <c r="J18" s="354" t="s">
        <v>191</v>
      </c>
      <c r="K18" s="354" t="s">
        <v>191</v>
      </c>
      <c r="L18" s="354" t="s">
        <v>381</v>
      </c>
      <c r="M18" s="355" t="e">
        <f t="shared" si="1"/>
        <v>#VALUE!</v>
      </c>
    </row>
    <row r="19" spans="1:13" ht="15">
      <c r="E19" s="351" t="s">
        <v>88</v>
      </c>
      <c r="F19" s="352" t="s">
        <v>191</v>
      </c>
      <c r="G19" s="352" t="s">
        <v>380</v>
      </c>
      <c r="H19" s="353" t="s">
        <v>191</v>
      </c>
      <c r="I19" s="354" t="s">
        <v>191</v>
      </c>
      <c r="J19" s="354" t="s">
        <v>191</v>
      </c>
      <c r="K19" s="354" t="s">
        <v>191</v>
      </c>
      <c r="L19" s="354" t="s">
        <v>381</v>
      </c>
      <c r="M19" s="355" t="e">
        <f t="shared" si="1"/>
        <v>#VALUE!</v>
      </c>
    </row>
  </sheetData>
  <mergeCells count="2">
    <mergeCell ref="A1:C1"/>
    <mergeCell ref="A16:B1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Title</vt:lpstr>
      <vt:lpstr>Instructions</vt:lpstr>
      <vt:lpstr>DDR4 Spec</vt:lpstr>
      <vt:lpstr>DDR4 Config</vt:lpstr>
      <vt:lpstr>System Config</vt:lpstr>
      <vt:lpstr>Power Calcs</vt:lpstr>
      <vt:lpstr>Summary</vt:lpstr>
      <vt:lpstr>Module calc</vt:lpstr>
      <vt:lpstr>'DDR4 Config'!Print_Area</vt:lpstr>
      <vt:lpstr>'DDR4 Spec'!Print_Area</vt:lpstr>
      <vt:lpstr>Instructions!Print_Area</vt:lpstr>
      <vt:lpstr>'Power Calcs'!Print_Area</vt:lpstr>
      <vt:lpstr>Summary!Print_Area</vt:lpstr>
      <vt:lpstr>'System Config'!Print_Area</vt:lpstr>
      <vt:lpstr>Title!Print_Area</vt:lpstr>
    </vt:vector>
  </TitlesOfParts>
  <Company>Micron Technology, Inc.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jjanzen</dc:creator>
  <cp:lastModifiedBy>sschaefer</cp:lastModifiedBy>
  <cp:lastPrinted>2017-03-17T23:48:43Z</cp:lastPrinted>
  <dcterms:created xsi:type="dcterms:W3CDTF">2001-02-07T14:39:54Z</dcterms:created>
  <dcterms:modified xsi:type="dcterms:W3CDTF">2017-10-04T18:45:17Z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